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Pessoal" sheetId="1" r:id="rId5"/>
    <sheet state="hidden" name="Calculos" sheetId="2" r:id="rId6"/>
    <sheet state="visible" name="Registro e Inventário" sheetId="3" r:id="rId7"/>
    <sheet state="visible" name="Perfil Amaldiçoado" sheetId="4" r:id="rId8"/>
    <sheet state="visible" name="Invocações" sheetId="5" r:id="rId9"/>
    <sheet state="visible" name="Treinamentos" sheetId="6" r:id="rId10"/>
  </sheets>
  <definedNames>
    <definedName name="For">'Ficha Pessoal'!$D$10</definedName>
    <definedName name="Sab">'Ficha Pessoal'!$H$14</definedName>
    <definedName name="BT">'Ficha Pessoal'!$BH$3</definedName>
    <definedName name="Int">'Ficha Pessoal'!$D$14</definedName>
    <definedName name="Des">'Ficha Pessoal'!$H$10</definedName>
    <definedName name="Pre">'Ficha Pessoal'!$L$14</definedName>
    <definedName name="Con">'Ficha Pessoal'!$L$10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K2">
      <text>
        <t xml:space="preserve">Esta nota é um exemplo!</t>
      </text>
    </comment>
    <comment authorId="0" ref="X6">
      <text>
        <t xml:space="preserve">Físico Controlado é automatizado, sendo necessário apenas por seu nome inteiro na parte de habilidades e talentos.</t>
      </text>
    </comment>
    <comment authorId="0" ref="R7">
      <text>
        <t xml:space="preserve">Quantidade de Vida perdida.
Não mexa na Vida Atual nem na Máxima</t>
      </text>
    </comment>
    <comment authorId="0" ref="X7">
      <text>
        <t xml:space="preserve">Efeito da Origem Kamo. Tudo está automatizado, menos os dados de vida.</t>
      </text>
    </comment>
    <comment authorId="0" ref="AP7">
      <text>
        <t xml:space="preserve">Quantidade de Integridade perdida.
Não mexa na Integridade Atual nem na Máxima
Perdas na Integridade reduzem pontos de vida atuais.</t>
      </text>
    </comment>
    <comment authorId="0" ref="O8">
      <text>
        <t xml:space="preserve">Não mexa nesta cédula</t>
      </text>
    </comment>
    <comment authorId="0" ref="U8">
      <text>
        <t xml:space="preserve">Caso você seja um Suporte e possua a Habilidade de Especialização "Físico Controlado", escreva seu nome corretamente em Habilidades e Talentos para garantir o aumento correto.</t>
      </text>
    </comment>
    <comment authorId="0" ref="X8">
      <text>
        <t xml:space="preserve">O bônus de Fortitude já está automatizado</t>
      </text>
    </comment>
    <comment authorId="0" ref="AM8">
      <text>
        <t xml:space="preserve">Não mexa nesta cédula</t>
      </text>
    </comment>
    <comment authorId="0" ref="AS8">
      <text>
        <t xml:space="preserve">Não mexa nesta cédula</t>
      </text>
    </comment>
    <comment authorId="0" ref="X9">
      <text>
        <t xml:space="preserve">Desenvolvimento Exagerado de Feto Amaldiçoado</t>
      </text>
    </comment>
    <comment authorId="0" ref="X10">
      <text>
        <t xml:space="preserve">Vigor Infindável de Restringido. 
Apenas os Pontos de Estamina não estão automatizados.</t>
      </text>
    </comment>
    <comment authorId="0" ref="X11">
      <text>
        <t xml:space="preserve">Caso esteja usando rolagem de dados remova o calculo da vida máxima de Integridade e faça manualmente.
Outros aumenta diretamente a base do número, ou seja, +5 aumentaria a vida máxima em +5</t>
      </text>
    </comment>
    <comment authorId="0" ref="P17">
      <text>
        <t xml:space="preserve">Outros</t>
      </text>
    </comment>
    <comment authorId="0" ref="S17">
      <text>
        <t xml:space="preserve">Outros</t>
      </text>
    </comment>
    <comment authorId="0" ref="V17">
      <text>
        <t xml:space="preserve">Outros</t>
      </text>
    </comment>
    <comment authorId="0" ref="AA17">
      <text>
        <t xml:space="preserve">Outros</t>
      </text>
    </comment>
    <comment authorId="0" ref="AA21">
      <text>
        <t xml:space="preserve">Cortante</t>
      </text>
    </comment>
    <comment authorId="0" ref="AB21">
      <text>
        <t xml:space="preserve">Impacto</t>
      </text>
    </comment>
    <comment authorId="0" ref="AC21">
      <text>
        <t xml:space="preserve">Perfurante</t>
      </text>
    </comment>
    <comment authorId="0" ref="AD21">
      <text>
        <t xml:space="preserve">Congelante</t>
      </text>
    </comment>
    <comment authorId="0" ref="AE21">
      <text>
        <t xml:space="preserve">Queimante</t>
      </text>
    </comment>
    <comment authorId="0" ref="AF21">
      <text>
        <t xml:space="preserve">Chocante</t>
      </text>
    </comment>
    <comment authorId="0" ref="AG21">
      <text>
        <t xml:space="preserve">Sônico
</t>
      </text>
    </comment>
    <comment authorId="0" ref="AH21">
      <text>
        <t xml:space="preserve">Energético</t>
      </text>
    </comment>
    <comment authorId="0" ref="AI21">
      <text>
        <t xml:space="preserve">Psíquico</t>
      </text>
    </comment>
    <comment authorId="0" ref="AJ21">
      <text>
        <t xml:space="preserve">Radiante</t>
      </text>
    </comment>
    <comment authorId="0" ref="AK21">
      <text>
        <t xml:space="preserve">Necrótico</t>
      </text>
    </comment>
    <comment authorId="0" ref="AL21">
      <text>
        <t xml:space="preserve">Venenoso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Y5">
      <text>
        <t xml:space="preserve">A quantidade de itens é multiplicada pelo peso.
Ou seja, caso eu possua dois itens de peso 2, será considerado 4 espaços.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Seu movimento aumenta em 
1,5 metros. </t>
      </text>
    </comment>
    <comment authorId="0" ref="L5">
      <text>
        <t xml:space="preserve">Os pontos de vida das 
paredes da sua Técnica de 
Barreira aumentam em 10. </t>
      </text>
    </comment>
    <comment authorId="0" ref="U5">
      <text>
        <t xml:space="preserve">Seu máximo de energia 
amaldiçoada aumenta em 2. </t>
      </text>
    </comment>
    <comment authorId="0" ref="AD5">
      <text>
        <t xml:space="preserve">Seu máximo de energia 
amaldiçoada aumenta em 2. </t>
      </text>
    </comment>
    <comment authorId="0" ref="AM5">
      <text>
        <t xml:space="preserve">Você recebe um bônus de +1 
em rolagens para confrontos e contestações de expansões. </t>
      </text>
    </comment>
    <comment authorId="0" ref="AV5">
      <text>
        <t xml:space="preserve">A quantidade de pontos de 
energia reversa que você 
pode gastar em Aptidões de 
Energia Reversa aumenta em 
1. </t>
      </text>
    </comment>
    <comment authorId="0" ref="C6">
      <text>
        <t xml:space="preserve">Você recebe um bônus de +2 
em rolagens de Acrobacia. (Automatizado)</t>
      </text>
    </comment>
    <comment authorId="0" ref="L6">
      <text>
        <t xml:space="preserve">Aumenta seu Nível de Aptidão em Barreiras em +1</t>
      </text>
    </comment>
    <comment authorId="0" ref="U6">
      <text>
        <t xml:space="preserve">Você recebe um bônus de +1
em rolagens de Feitiçaria e
Ocultismo. (Automatizado)</t>
      </text>
    </comment>
    <comment authorId="0" ref="AD6">
      <text>
        <t xml:space="preserve">Quando uma cena de combate
iniciar, você recebe 4 pontos
de energia amaldiçoada
temporários.</t>
      </text>
    </comment>
    <comment authorId="0" ref="AM6">
      <text>
        <t xml:space="preserve">A área da sua Expansão de
Domínio aumenta em 3 metros.</t>
      </text>
    </comment>
    <comment authorId="0" ref="AV6">
      <text>
        <t xml:space="preserve">Seu Nível de Aptidão em 
Energia Reversa aumenta em 
1.</t>
      </text>
    </comment>
    <comment authorId="0" ref="C7">
      <text>
        <t xml:space="preserve">Você recebe um bônus de +2 
em rolagens de Iniciativa. (Automatizado)</t>
      </text>
    </comment>
    <comment authorId="0" ref="L7">
      <text>
        <t xml:space="preserve">Os pontos de vida das 
paredes da sua Técnica de 
Barreira aumentam em 10. </t>
      </text>
    </comment>
    <comment authorId="0" ref="U7">
      <text>
        <t xml:space="preserve">Seu máximo de energia 
amaldiçoada aumenta em 3.</t>
      </text>
    </comment>
    <comment authorId="0" ref="AD7">
      <text>
        <t xml:space="preserve">Seu máximo de energia 
amaldiçoada aumenta em 3.</t>
      </text>
    </comment>
    <comment authorId="0" ref="AM7">
      <text>
        <t xml:space="preserve">Você recebe um bônus de +1 
em rolagens para confrontos e contestações de expansões. </t>
      </text>
    </comment>
    <comment authorId="0" ref="AV7">
      <text>
        <t xml:space="preserve">O custo para regenerar um 
membro ou ferida interna 
com Regeneração 
Aprimorada é reduzido em 2 
pontos de energia reversa.</t>
      </text>
    </comment>
    <comment authorId="0" ref="C8">
      <text>
        <t xml:space="preserve">Você recebe um bônus de +2 
em rolagens de Reflexos. (Automatizado)</t>
      </text>
    </comment>
    <comment authorId="0" ref="L8">
      <text>
        <t xml:space="preserve">Ao utilizar Técnicas de Barreira,
o máximo de paredes que você
pode criar aumenta em 2</t>
      </text>
    </comment>
    <comment authorId="0" ref="U8">
      <text>
        <t xml:space="preserve">Você recebe um bônus de +2
em rolagens de Feitiçaria e
Ocultismo. (Automatizado) </t>
      </text>
    </comment>
    <comment authorId="0" ref="AD8">
      <text>
        <t xml:space="preserve">Seu Nível de Aptidão em
Controle e Leitura aumenta em
1.</t>
      </text>
    </comment>
    <comment authorId="0" ref="AM8">
      <text>
        <t xml:space="preserve">Você pode colocar um efeito 
adicional em sua expansão de 
domínio. </t>
      </text>
    </comment>
    <comment authorId="0" ref="AV8">
      <text>
        <t xml:space="preserve">Você também pode usar 
Fluxo Constante para 
regenerar membros, ao invés 
de apenas se curar.</t>
      </text>
    </comment>
    <comment authorId="0" ref="C17">
      <text>
        <t xml:space="preserve">O dano de seus ataques 
desarmados aumenta em 1 nível</t>
      </text>
    </comment>
    <comment authorId="0" ref="L17">
      <text>
        <t xml:space="preserve">Escolha uma arma: você 
recebe maestria nela. Caso já 
possua, adicione +2 em 
rolagens de dano com ela.</t>
      </text>
    </comment>
    <comment authorId="0" ref="U17">
      <text>
        <t xml:space="preserve">Escolha uma perícia: você 
recebe maestria nela. Caso já 
possua, adicione +1 em testes 
de perícia usando-a. </t>
      </text>
    </comment>
    <comment authorId="0" ref="AD17">
      <text>
        <t xml:space="preserve">Seu máximo de pontos de 
vigor aumenta em 2.</t>
      </text>
    </comment>
    <comment authorId="0" ref="AM17">
      <text>
        <t xml:space="preserve">Seus pontos de vida máximos 
aumentam em 4.</t>
      </text>
    </comment>
    <comment authorId="0" ref="C18">
      <text>
        <t xml:space="preserve">Você recebe +2 em sua Defesa (Automatizado) e   em rolagens para as ações Agarrar, Derrubar e 
Empurrar. (Não automatizado)</t>
      </text>
    </comment>
    <comment authorId="0" ref="L18">
      <text>
        <t xml:space="preserve">Você recebe um bônus de +1 em
jogadas de ataque com a arma
escolhida</t>
      </text>
    </comment>
    <comment authorId="0" ref="U18">
      <text>
        <t xml:space="preserve">Duas vezes por descanso, 
você pode escolher realizar 
um teste da perícia escolhida 
para o treinamento com 
vantagem. </t>
      </text>
    </comment>
    <comment authorId="0" ref="AD18">
      <text>
        <t xml:space="preserve">Você recebe 2 pontos de 
atributo para distribuir entre 
seus atributos físicos, 
podendo superar o seu limite 
atual neles. </t>
      </text>
    </comment>
    <comment authorId="0" ref="AM18">
      <text>
        <t xml:space="preserve">Sua quantidade de dados de 
vida disponíveis por descanso 
aumenta em 2. </t>
      </text>
    </comment>
    <comment authorId="0" ref="C19">
      <text>
        <t xml:space="preserve">O dano de seus ataques 
desarmados aumenta em 1 nível</t>
      </text>
    </comment>
    <comment authorId="0" ref="L19">
      <text>
        <t xml:space="preserve">Enquanto estiver manejando
a arma escolhida, você recebe
acesso ao efeito crítico dela</t>
      </text>
    </comment>
    <comment authorId="0" ref="U19">
      <text>
        <t xml:space="preserve">Você se torna especialista na 
perícia escolhida. Caso já seja, 
adicione +2 em testes de 
perícia usando-a. </t>
      </text>
    </comment>
    <comment authorId="0" ref="AD19">
      <text>
        <t xml:space="preserve">Seu máximo de pontos de 
vigor aumenta em 3.</t>
      </text>
    </comment>
    <comment authorId="0" ref="AM19">
      <text>
        <t xml:space="preserve">Recebe um bônus de +2 em 
rolagens de Fortitude. (Automatizado)</t>
      </text>
    </comment>
    <comment authorId="0" ref="C20">
      <text>
        <t xml:space="preserve">O dano de seus ataques 
desarmados aumenta em 2 níveis</t>
      </text>
    </comment>
    <comment authorId="0" ref="L20">
      <text>
        <t xml:space="preserve">Você recebe +1 em rolagens 
de ataque e +2 em rolagens 
de dano com a arma 
escolhida. </t>
      </text>
    </comment>
    <comment authorId="0" ref="U20">
      <text>
        <t xml:space="preserve">Uma vez por cena, você pode 
escolher obter um sucesso 
garantido em um teste da 
perícia escolhida, desde que não seja um teste oposto.</t>
      </text>
    </comment>
    <comment authorId="0" ref="AD20">
      <text>
        <t xml:space="preserve">Você recebe uma Dádiva do 
Céu adicional. </t>
      </text>
    </comment>
    <comment authorId="0" ref="AM20">
      <text>
        <t xml:space="preserve">Seus pontos de vida máximos 
aumentam em 6. </t>
      </text>
    </comment>
  </commentList>
</comments>
</file>

<file path=xl/sharedStrings.xml><?xml version="1.0" encoding="utf-8"?>
<sst xmlns="http://schemas.openxmlformats.org/spreadsheetml/2006/main" count="644" uniqueCount="240">
  <si>
    <t>FEITICEIROS &amp; MALDIÇÕES</t>
  </si>
  <si>
    <t>NOME</t>
  </si>
  <si>
    <t>ORIGEM</t>
  </si>
  <si>
    <t>CAMPANHA</t>
  </si>
  <si>
    <t>Nível</t>
  </si>
  <si>
    <t>Treinamento</t>
  </si>
  <si>
    <t>Lembre-se de utilizar a função de Notas para anotar o funcionamento de suas habilidades, talentos e outros.</t>
  </si>
  <si>
    <t>ESPECIALIZAÇÃO</t>
  </si>
  <si>
    <t>GRAU</t>
  </si>
  <si>
    <t>FICHA DE PERSONAGEM v2.5</t>
  </si>
  <si>
    <t>JOGADOR</t>
  </si>
  <si>
    <t>TÉCNICA</t>
  </si>
  <si>
    <t>EXPERIÊNCIA</t>
  </si>
  <si>
    <t>ATRIBUTOS</t>
  </si>
  <si>
    <t>PONTOS DE VIDA</t>
  </si>
  <si>
    <t>EXTRA</t>
  </si>
  <si>
    <t>PONTOS DE ENERGIA</t>
  </si>
  <si>
    <t>INTEGRIDADE</t>
  </si>
  <si>
    <t>DEFESA</t>
  </si>
  <si>
    <t>HABILIDADES E TALENTOS</t>
  </si>
  <si>
    <t>ATUAIS</t>
  </si>
  <si>
    <t>PERDIDOS</t>
  </si>
  <si>
    <t>MÁXIMOS</t>
  </si>
  <si>
    <t>KAMO</t>
  </si>
  <si>
    <t>ATUAL</t>
  </si>
  <si>
    <t>MÁXIMA</t>
  </si>
  <si>
    <t>ESTADO ATUAL</t>
  </si>
  <si>
    <t>Total</t>
  </si>
  <si>
    <t>Base</t>
  </si>
  <si>
    <t>FORÇA</t>
  </si>
  <si>
    <t>DESTREZA</t>
  </si>
  <si>
    <t>CONSTITUIÇÃO</t>
  </si>
  <si>
    <t>ROBUSTEZ</t>
  </si>
  <si>
    <t>Equip.</t>
  </si>
  <si>
    <t>Nome</t>
  </si>
  <si>
    <t>Atual</t>
  </si>
  <si>
    <t>Máx.</t>
  </si>
  <si>
    <t>Custo</t>
  </si>
  <si>
    <t>Valor</t>
  </si>
  <si>
    <t>Mod.</t>
  </si>
  <si>
    <t>DES. EXA.</t>
  </si>
  <si>
    <t>Destreza</t>
  </si>
  <si>
    <t>VIGOR INF.</t>
  </si>
  <si>
    <t>RD</t>
  </si>
  <si>
    <t>Nível/2</t>
  </si>
  <si>
    <t>Outros</t>
  </si>
  <si>
    <t>INTELIGÊNCIA</t>
  </si>
  <si>
    <t>SABEDORIA</t>
  </si>
  <si>
    <t>PRESENÇA</t>
  </si>
  <si>
    <t>JOGADAS DE ATAQUE</t>
  </si>
  <si>
    <t>TESTES DE RESISTÊNCIA</t>
  </si>
  <si>
    <t>Desloc.</t>
  </si>
  <si>
    <t>CD Especialização</t>
  </si>
  <si>
    <t>TESTES DE MORTE</t>
  </si>
  <si>
    <t>Corpo a Corpo</t>
  </si>
  <si>
    <t>A Distância</t>
  </si>
  <si>
    <t>Amaldiçoado</t>
  </si>
  <si>
    <t>Astúcia</t>
  </si>
  <si>
    <t>Fortitude</t>
  </si>
  <si>
    <t>Integridade</t>
  </si>
  <si>
    <t>Reflexos</t>
  </si>
  <si>
    <t>Vontade</t>
  </si>
  <si>
    <t>Atributo</t>
  </si>
  <si>
    <t>D</t>
  </si>
  <si>
    <t>Sucessos</t>
  </si>
  <si>
    <t>Treino</t>
  </si>
  <si>
    <t>Falhas</t>
  </si>
  <si>
    <t>ATENÇÃO</t>
  </si>
  <si>
    <t>INICIATIVA</t>
  </si>
  <si>
    <t>T</t>
  </si>
  <si>
    <t>M</t>
  </si>
  <si>
    <t>O</t>
  </si>
  <si>
    <t>DADOS DE VIDA</t>
  </si>
  <si>
    <t>Percep.</t>
  </si>
  <si>
    <t>FOR</t>
  </si>
  <si>
    <t>DES</t>
  </si>
  <si>
    <t>RDs</t>
  </si>
  <si>
    <t>RESISTENCIAS</t>
  </si>
  <si>
    <t>TREINAMENTOS</t>
  </si>
  <si>
    <t>Dados</t>
  </si>
  <si>
    <t>Gastos</t>
  </si>
  <si>
    <t>Disponíveis</t>
  </si>
  <si>
    <t>COR</t>
  </si>
  <si>
    <t>IMP</t>
  </si>
  <si>
    <t>PER</t>
  </si>
  <si>
    <t>CON</t>
  </si>
  <si>
    <t>QUE</t>
  </si>
  <si>
    <t>CHO</t>
  </si>
  <si>
    <t>SON</t>
  </si>
  <si>
    <t>ENE</t>
  </si>
  <si>
    <t>PSI</t>
  </si>
  <si>
    <t>RAD</t>
  </si>
  <si>
    <t>NEC</t>
  </si>
  <si>
    <t>VEN</t>
  </si>
  <si>
    <t>d8</t>
  </si>
  <si>
    <t>PERÍCIAS</t>
  </si>
  <si>
    <t>d10</t>
  </si>
  <si>
    <t>d12</t>
  </si>
  <si>
    <t>Perícia</t>
  </si>
  <si>
    <t>Atletismo</t>
  </si>
  <si>
    <t>Teologia</t>
  </si>
  <si>
    <t>INT</t>
  </si>
  <si>
    <t>ATAQUES</t>
  </si>
  <si>
    <t>CARACTERÍSTICAS</t>
  </si>
  <si>
    <t>Acrobacia</t>
  </si>
  <si>
    <t>Direção</t>
  </si>
  <si>
    <t>SAB</t>
  </si>
  <si>
    <t>ARMA</t>
  </si>
  <si>
    <t>BÔNUS</t>
  </si>
  <si>
    <t>DANO</t>
  </si>
  <si>
    <t>CRÍT.</t>
  </si>
  <si>
    <t>TIPO</t>
  </si>
  <si>
    <t>ALCANCE</t>
  </si>
  <si>
    <t>PROPRIEDADES</t>
  </si>
  <si>
    <t>Furtividade</t>
  </si>
  <si>
    <t>Intuição</t>
  </si>
  <si>
    <t>Prestidigitação</t>
  </si>
  <si>
    <t>Medicina</t>
  </si>
  <si>
    <t>Feitiçaria</t>
  </si>
  <si>
    <t>Ocultismo</t>
  </si>
  <si>
    <t>História</t>
  </si>
  <si>
    <t>Percepção</t>
  </si>
  <si>
    <t>Investigação</t>
  </si>
  <si>
    <t>Sobrevivência</t>
  </si>
  <si>
    <t>Ofício (__)</t>
  </si>
  <si>
    <t>Enganação</t>
  </si>
  <si>
    <t>PRE</t>
  </si>
  <si>
    <t>ANOTAÇÕES</t>
  </si>
  <si>
    <t>Intimidação</t>
  </si>
  <si>
    <t>Performance</t>
  </si>
  <si>
    <t>Tecnologia</t>
  </si>
  <si>
    <t>Persuasão</t>
  </si>
  <si>
    <t>Lutador</t>
  </si>
  <si>
    <t>Esp em C</t>
  </si>
  <si>
    <t>Esp em T</t>
  </si>
  <si>
    <t>Suporte</t>
  </si>
  <si>
    <t>Controlador</t>
  </si>
  <si>
    <t>Restringido</t>
  </si>
  <si>
    <t>REGISTRO E INVENTÁRIO</t>
  </si>
  <si>
    <t>APARÊNCIA</t>
  </si>
  <si>
    <t>INVENTÁRIO</t>
  </si>
  <si>
    <t>IDADE</t>
  </si>
  <si>
    <t>NOME DO ITEM</t>
  </si>
  <si>
    <t>QUANT.</t>
  </si>
  <si>
    <t>PESO</t>
  </si>
  <si>
    <t>PREÇO</t>
  </si>
  <si>
    <t>ALTURA</t>
  </si>
  <si>
    <t>GÊNERO</t>
  </si>
  <si>
    <t>CABELOS</t>
  </si>
  <si>
    <t>OLHOS</t>
  </si>
  <si>
    <t>PELE</t>
  </si>
  <si>
    <t>ROUPAS</t>
  </si>
  <si>
    <t>MARCA</t>
  </si>
  <si>
    <t>TRAÇOS DE PERSONALIDADE</t>
  </si>
  <si>
    <t>IDEAIS</t>
  </si>
  <si>
    <t>LIGAÇÕES</t>
  </si>
  <si>
    <t>COMPLICAÇÕES</t>
  </si>
  <si>
    <t>DOMÍNIO INATO</t>
  </si>
  <si>
    <t>Espaços Ocupados</t>
  </si>
  <si>
    <t>Limite de Espaços</t>
  </si>
  <si>
    <t>PERFIL AMALDIÇOADO</t>
  </si>
  <si>
    <t>TÉCNICA AMALDIÇOADA</t>
  </si>
  <si>
    <t>APTIDÕES AMALDIÇOADAS</t>
  </si>
  <si>
    <t>LISTA DE FEITIÇOS</t>
  </si>
  <si>
    <t>EXPANSÃO DE DOMÍNIO</t>
  </si>
  <si>
    <t>NOME DA TÉCNICA</t>
  </si>
  <si>
    <t>FEITIÇOS NÍVEL 0</t>
  </si>
  <si>
    <t>FEITIÇOS NÍVEL 1</t>
  </si>
  <si>
    <t>FEITIÇOS NÍVEL 2</t>
  </si>
  <si>
    <t>NOME DA EXPANSÃO</t>
  </si>
  <si>
    <t>DESCRIÇÃO DA TÉCNICA</t>
  </si>
  <si>
    <t>TIPO DE EXPANSÃO</t>
  </si>
  <si>
    <t>DESCRIÇÃO DA EXPANSÃO</t>
  </si>
  <si>
    <t>FEITIÇOS CONHECIDOS</t>
  </si>
  <si>
    <t>FEITIÇOS NÍVEL 3</t>
  </si>
  <si>
    <t>FEITIÇOS NÍVEL 4</t>
  </si>
  <si>
    <t>FEITIÇOS NÍVEL 5</t>
  </si>
  <si>
    <t>TÉCNICA MÁXIMA</t>
  </si>
  <si>
    <t>ATRIBUTO PRINCIPAL</t>
  </si>
  <si>
    <t>CD Técnica</t>
  </si>
  <si>
    <t>CD Amaldiçoada</t>
  </si>
  <si>
    <t>DESCRIÇÃO DA TÉCNICA MÁXIMA</t>
  </si>
  <si>
    <t>F</t>
  </si>
  <si>
    <t>NÍVEIS DE APTIDÃO</t>
  </si>
  <si>
    <t>Aptidão em Aura</t>
  </si>
  <si>
    <t>Aptidão em Controle e Leitura</t>
  </si>
  <si>
    <t>Aptidão em Barreira</t>
  </si>
  <si>
    <t>Aptidão em Domínio</t>
  </si>
  <si>
    <t>Aptidão em Energia Reversa</t>
  </si>
  <si>
    <t>INVOCAÇÕES</t>
  </si>
  <si>
    <t>Invocação 1</t>
  </si>
  <si>
    <t>Invocação 2</t>
  </si>
  <si>
    <t>Invocação 3</t>
  </si>
  <si>
    <t>Invocação 4</t>
  </si>
  <si>
    <t>Grau da Invocação</t>
  </si>
  <si>
    <t>DESLOC.</t>
  </si>
  <si>
    <t>Modificador</t>
  </si>
  <si>
    <t>Força</t>
  </si>
  <si>
    <t>Constituição</t>
  </si>
  <si>
    <t>Inteligência</t>
  </si>
  <si>
    <t>Sabedoria</t>
  </si>
  <si>
    <t>Presença</t>
  </si>
  <si>
    <t>Ações e Características</t>
  </si>
  <si>
    <t>Perícias Treinadas</t>
  </si>
  <si>
    <t>Bônus</t>
  </si>
  <si>
    <t>Invocação 5</t>
  </si>
  <si>
    <t>Invocação 6</t>
  </si>
  <si>
    <t>Invocação 7</t>
  </si>
  <si>
    <t>Invocação 8</t>
  </si>
  <si>
    <t>Invocação 9</t>
  </si>
  <si>
    <t>Invocação 10</t>
  </si>
  <si>
    <t>Invocação 11</t>
  </si>
  <si>
    <t>Invocação 12</t>
  </si>
  <si>
    <t>Treino de Agilidade</t>
  </si>
  <si>
    <t>Treino de Barreiras</t>
  </si>
  <si>
    <t>Treino de Compreensão</t>
  </si>
  <si>
    <t>Controle de Energia</t>
  </si>
  <si>
    <t>Treino de Domínios</t>
  </si>
  <si>
    <t>Energia Reversa</t>
  </si>
  <si>
    <t>1° Etapa</t>
  </si>
  <si>
    <t>2° Etapa</t>
  </si>
  <si>
    <t>3° Etapa</t>
  </si>
  <si>
    <t>4° Etapa</t>
  </si>
  <si>
    <t>Treinamento Completo</t>
  </si>
  <si>
    <t>Com grande velocidade e agilidade, você se torna rápido e capaz de um nível superior de mobilidade e esquivas. Sua margem necessária para conseguir um sucesso crítico em um TR de Reflexos reduz em 2. Seu Deslocamento aumenta em 4,5 metros.</t>
  </si>
  <si>
    <t xml:space="preserve">Toda parede que você criar com Técnicas de Barreira recebe RD igual ao seu Nível de Aptidão em Barreiras. </t>
  </si>
  <si>
    <t>Você chega muito perto de compreender profundamente a energia amaldiçoada, tornando-se familiar com ela e entendendo melhor uma parte dela. Você aumenta um nível de aptidão a sua escolha em 1.</t>
  </si>
  <si>
    <t xml:space="preserve">Em uma situação de combate, imerso no fervor da batalha, você consegue gerar energia: durante uma cena de combate, no começo de toda rodada, você ganha PE Temporário igual a metade do seu bônus de maestria. </t>
  </si>
  <si>
    <t xml:space="preserve">Você se torna um mestre das expansões, entendo o como conseguir a moldar perfeitamente diante a sua vontade e necessidade do momento. Você recebe a aptidão amaldiçoada Modificação Completa. </t>
  </si>
  <si>
    <t xml:space="preserve"> Você pode usar a aptidão amaldiçoada Regeneração Aprimorada para curar sua exaustão de técnica após usar expansão de domínio, reduzindo em um turno para 2 pontos de energia reversa gastos.</t>
  </si>
  <si>
    <t>Treino de Luta</t>
  </si>
  <si>
    <t>Manejo de Arma</t>
  </si>
  <si>
    <t>Treino de Perícia</t>
  </si>
  <si>
    <t>Potencial Físico</t>
  </si>
  <si>
    <t>Treino de Resistência</t>
  </si>
  <si>
    <t xml:space="preserve"> Você recebe acesso ao efeito de crítico de ataques desarmados (pugilato). Além disso, você pode, uma vez por rodada, escolher realizar uma rolagem de Luta com vantagem, seja ela para um ataque ou para uma manobra. </t>
  </si>
  <si>
    <t>Enquanto estiver manejando a arma escolhida, ela recebe uma propriedade de ferramenta amaldiçoada adicional.</t>
  </si>
  <si>
    <t>Caso realize um teste da perícia escolhida e obtenha um resultado menor do que 5 no d20, você pode o rolar novamente e manter o melhor resultado.</t>
  </si>
  <si>
    <t>Durante uma cena de combate, no começo de toda rodada, você recupera uma quantidade de pontos de vigor igual a metade do seu bônus de maestria.</t>
  </si>
  <si>
    <t>Sua margem necessária para conseguir um sucesso crítico em um TR de Fortitude reduz em 2. Uma vez por cena, você ignora a primeira falha em testes de morte. Seus pontos de vida máximos aumentam em mais 10.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</si>
</sst>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0;+0"/>
    <numFmt numFmtId="166" formatCode="0&quot;m&quot;"/>
    <numFmt numFmtId="167" formatCode="0.0&quot;m&quot;"/>
  </numFmts>
  <fonts count="32">
    <font>
      <sz val="10.0"/>
      <color rgb="FF000000"/>
      <name val="Arial"/>
      <scheme val="minor"/>
    </font>
    <font>
      <b/>
      <color theme="1"/>
      <name val="Lexend Deca"/>
    </font>
    <font>
      <color theme="1"/>
      <name val="Arial"/>
      <scheme val="minor"/>
    </font>
    <font>
      <b/>
      <sz val="15.0"/>
      <color rgb="FFFFFFFF"/>
      <name val="Lexend Deca"/>
    </font>
    <font/>
    <font>
      <b/>
      <sz val="18.0"/>
      <color rgb="FF000000"/>
      <name val="Lexend Deca"/>
    </font>
    <font>
      <b/>
      <color rgb="FFFFFFFF"/>
      <name val="Lexend Deca"/>
    </font>
    <font>
      <sz val="12.0"/>
      <color rgb="FFFFFFFF"/>
      <name val="Lexend Deca"/>
    </font>
    <font>
      <b/>
      <sz val="10.0"/>
      <color rgb="FFFFFFFF"/>
      <name val="Lexend Deca"/>
    </font>
    <font>
      <color rgb="FFFFFFFF"/>
      <name val="Lexend Deca"/>
    </font>
    <font>
      <b/>
      <sz val="8.0"/>
      <color rgb="FFFFFFFF"/>
      <name val="Lexend Deca"/>
    </font>
    <font>
      <i/>
      <color rgb="FFFFFFFF"/>
      <name val="Lexend Deca"/>
    </font>
    <font>
      <b/>
      <sz val="14.0"/>
      <color rgb="FFFFFFFF"/>
      <name val="Lexend Deca"/>
    </font>
    <font>
      <b/>
      <sz val="16.0"/>
      <color rgb="FFFFFFFF"/>
      <name val="Lexend Deca"/>
    </font>
    <font>
      <b/>
      <sz val="9.0"/>
      <color rgb="FFFFFFFF"/>
      <name val="Lexend Deca"/>
    </font>
    <font>
      <sz val="18.0"/>
      <color rgb="FFFFFFFF"/>
      <name val="Lexend Deca"/>
    </font>
    <font>
      <b/>
      <sz val="18.0"/>
      <color rgb="FFFFFFFF"/>
      <name val="Lexend Deca"/>
    </font>
    <font>
      <sz val="8.0"/>
      <color rgb="FFFFFFFF"/>
      <name val="Lexend Deca"/>
    </font>
    <font>
      <b/>
      <sz val="12.0"/>
      <color rgb="FFFFFFFF"/>
      <name val="Lexend Deca"/>
    </font>
    <font>
      <sz val="10.0"/>
      <color rgb="FFFFFFFF"/>
      <name val="Lexend Deca"/>
    </font>
    <font>
      <b/>
      <sz val="10.0"/>
      <color theme="1"/>
      <name val="Lexend Deca"/>
    </font>
    <font>
      <b/>
      <color rgb="FF2F4A6A"/>
      <name val="Lexend Deca"/>
    </font>
    <font>
      <b/>
      <sz val="7.0"/>
      <color rgb="FFFFFFFF"/>
      <name val="Lexend Deca"/>
    </font>
    <font>
      <b/>
      <color rgb="FF000000"/>
      <name val="Lexend Deca"/>
    </font>
    <font>
      <color theme="1"/>
      <name val="Lexend Deca"/>
    </font>
    <font>
      <sz val="9.0"/>
      <color rgb="FFFFFFFF"/>
      <name val="Lexend Deca"/>
    </font>
    <font>
      <b/>
      <sz val="11.0"/>
      <color rgb="FFFFFFFF"/>
      <name val="Lexend Deca"/>
    </font>
    <font>
      <color rgb="FF666666"/>
      <name val="Arial"/>
    </font>
    <font>
      <sz val="16.0"/>
      <color rgb="FFFFFFFF"/>
      <name val="Lexend Deca"/>
    </font>
    <font>
      <color theme="1"/>
      <name val="Arial"/>
    </font>
    <font>
      <i/>
      <sz val="18.0"/>
      <color rgb="FFFFFFFF"/>
      <name val="Lexend Deca"/>
    </font>
    <font>
      <color rgb="FF434343"/>
      <name val="Lexend Deca"/>
    </font>
  </fonts>
  <fills count="6">
    <fill>
      <patternFill patternType="none"/>
    </fill>
    <fill>
      <patternFill patternType="lightGray"/>
    </fill>
    <fill>
      <patternFill patternType="solid">
        <fgColor rgb="FF999999"/>
        <bgColor rgb="FF999999"/>
      </patternFill>
    </fill>
    <fill>
      <patternFill patternType="solid">
        <fgColor rgb="FF51163B"/>
        <bgColor rgb="FF51163B"/>
      </patternFill>
    </fill>
    <fill>
      <patternFill patternType="solid">
        <fgColor rgb="FF666666"/>
        <bgColor rgb="FF666666"/>
      </patternFill>
    </fill>
    <fill>
      <patternFill patternType="solid">
        <fgColor rgb="FFEFEFEF"/>
        <bgColor rgb="FFEFEFEF"/>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2" fontId="5" numFmtId="0" xfId="0" applyAlignment="1" applyFont="1">
      <alignment horizontal="center"/>
    </xf>
    <xf borderId="1" fillId="3" fontId="6" numFmtId="0" xfId="0" applyAlignment="1" applyBorder="1" applyFont="1">
      <alignment horizontal="center" readingOrder="0" vertical="center"/>
    </xf>
    <xf borderId="1" fillId="2" fontId="7" numFmtId="0" xfId="0" applyAlignment="1" applyBorder="1" applyFont="1">
      <alignment horizontal="center" readingOrder="0" vertical="center"/>
    </xf>
    <xf borderId="4" fillId="3" fontId="8" numFmtId="0" xfId="0" applyAlignment="1" applyBorder="1" applyFont="1">
      <alignment horizontal="center" readingOrder="0" vertical="center"/>
    </xf>
    <xf borderId="5" fillId="0" fontId="4" numFmtId="0" xfId="0" applyBorder="1" applyFont="1"/>
    <xf borderId="6" fillId="0" fontId="4" numFmtId="0" xfId="0" applyBorder="1" applyFont="1"/>
    <xf borderId="4" fillId="2" fontId="9" numFmtId="0" xfId="0" applyAlignment="1" applyBorder="1" applyFont="1">
      <alignment horizontal="center" readingOrder="0" vertical="center"/>
    </xf>
    <xf borderId="4" fillId="3" fontId="6" numFmtId="0" xfId="0" applyAlignment="1" applyBorder="1" applyFont="1">
      <alignment horizontal="center" readingOrder="0"/>
    </xf>
    <xf borderId="4" fillId="3" fontId="10" numFmtId="0" xfId="0" applyAlignment="1" applyBorder="1" applyFont="1">
      <alignment horizontal="center" readingOrder="0"/>
    </xf>
    <xf borderId="0" fillId="4" fontId="11" numFmtId="0" xfId="0" applyAlignment="1" applyFill="1" applyFont="1">
      <alignment horizontal="center" readingOrder="0" shrinkToFit="0" vertical="center" wrapText="1"/>
    </xf>
    <xf borderId="7" fillId="0" fontId="4" numFmtId="0" xfId="0" applyBorder="1" applyFont="1"/>
    <xf borderId="8" fillId="0" fontId="4" numFmtId="0" xfId="0" applyBorder="1" applyFont="1"/>
    <xf borderId="9" fillId="0" fontId="4" numFmtId="0" xfId="0" applyBorder="1" applyFont="1"/>
    <xf borderId="1" fillId="2" fontId="12" numFmtId="0" xfId="0" applyAlignment="1" applyBorder="1" applyFont="1">
      <alignment horizontal="center" readingOrder="0" vertical="center"/>
    </xf>
    <xf borderId="1" fillId="2" fontId="12" numFmtId="164" xfId="0" applyAlignment="1" applyBorder="1" applyFont="1" applyNumberFormat="1">
      <alignment horizontal="center" readingOrder="0" vertical="center"/>
    </xf>
    <xf borderId="4" fillId="3" fontId="6" numFmtId="0" xfId="0" applyAlignment="1" applyBorder="1" applyFont="1">
      <alignment horizontal="center" readingOrder="0" vertical="center"/>
    </xf>
    <xf borderId="1" fillId="3" fontId="13" numFmtId="0" xfId="0" applyAlignment="1" applyBorder="1" applyFont="1">
      <alignment horizontal="center" readingOrder="0" vertical="center"/>
    </xf>
    <xf borderId="0" fillId="4" fontId="6" numFmtId="0" xfId="0" applyAlignment="1" applyFont="1">
      <alignment horizontal="center" readingOrder="0" vertical="center"/>
    </xf>
    <xf borderId="0" fillId="0" fontId="2" numFmtId="0" xfId="0" applyFont="1"/>
    <xf borderId="1" fillId="3" fontId="12" numFmtId="0" xfId="0" applyAlignment="1" applyBorder="1" applyFont="1">
      <alignment horizontal="center" readingOrder="0" vertical="center"/>
    </xf>
    <xf borderId="10" fillId="2" fontId="6" numFmtId="0" xfId="0" applyAlignment="1" applyBorder="1" applyFont="1">
      <alignment horizontal="center" readingOrder="0" vertical="center"/>
    </xf>
    <xf borderId="1" fillId="3" fontId="8" numFmtId="0" xfId="0" applyAlignment="1" applyBorder="1" applyFont="1">
      <alignment horizontal="center" readingOrder="0" shrinkToFit="0" vertical="center" wrapText="1"/>
    </xf>
    <xf borderId="4" fillId="3" fontId="10" numFmtId="0" xfId="0" applyAlignment="1" applyBorder="1" applyFont="1">
      <alignment horizontal="center" readingOrder="0" vertical="bottom"/>
    </xf>
    <xf borderId="10" fillId="2" fontId="10" numFmtId="0" xfId="0" applyAlignment="1" applyBorder="1" applyFont="1">
      <alignment horizontal="center" readingOrder="0"/>
    </xf>
    <xf borderId="4" fillId="3" fontId="14" numFmtId="0" xfId="0" applyAlignment="1" applyBorder="1" applyFont="1">
      <alignment horizontal="center" readingOrder="0"/>
    </xf>
    <xf borderId="1" fillId="2" fontId="15" numFmtId="49" xfId="0" applyAlignment="1" applyBorder="1" applyFont="1" applyNumberFormat="1">
      <alignment horizontal="center" readingOrder="0" vertical="center"/>
    </xf>
    <xf borderId="1" fillId="4" fontId="16" numFmtId="49" xfId="0" applyAlignment="1" applyBorder="1" applyFont="1" applyNumberFormat="1">
      <alignment horizontal="center" readingOrder="0" vertical="center"/>
    </xf>
    <xf borderId="4" fillId="3" fontId="14" numFmtId="0" xfId="0" applyAlignment="1" applyBorder="1" applyFont="1">
      <alignment horizontal="center" readingOrder="0" vertical="center"/>
    </xf>
    <xf borderId="1" fillId="2" fontId="16" numFmtId="49" xfId="0" applyAlignment="1" applyBorder="1" applyFont="1" applyNumberFormat="1">
      <alignment horizontal="center" readingOrder="0" vertical="center"/>
    </xf>
    <xf borderId="1" fillId="3" fontId="8" numFmtId="0" xfId="0" applyAlignment="1" applyBorder="1" applyFont="1">
      <alignment horizontal="center" readingOrder="0" vertical="center"/>
    </xf>
    <xf borderId="11" fillId="0" fontId="4" numFmtId="0" xfId="0" applyBorder="1" applyFont="1"/>
    <xf borderId="12" fillId="0" fontId="4" numFmtId="0" xfId="0" applyBorder="1" applyFont="1"/>
    <xf borderId="4" fillId="4" fontId="17" numFmtId="0" xfId="0" applyAlignment="1" applyBorder="1" applyFont="1">
      <alignment horizontal="center" readingOrder="0" vertical="center"/>
    </xf>
    <xf borderId="10" fillId="2" fontId="10" numFmtId="165" xfId="0" applyAlignment="1" applyBorder="1" applyFont="1" applyNumberFormat="1">
      <alignment horizontal="center" readingOrder="0"/>
    </xf>
    <xf borderId="4" fillId="2" fontId="9" numFmtId="0" xfId="0" applyAlignment="1" applyBorder="1" applyFont="1">
      <alignment horizontal="left" readingOrder="0"/>
    </xf>
    <xf borderId="4" fillId="2" fontId="9" numFmtId="0" xfId="0" applyAlignment="1" applyBorder="1" applyFont="1">
      <alignment horizontal="center" readingOrder="0"/>
    </xf>
    <xf borderId="1" fillId="4" fontId="18" numFmtId="165" xfId="0" applyAlignment="1" applyBorder="1" applyFont="1" applyNumberFormat="1">
      <alignment horizontal="center" readingOrder="0" vertical="center"/>
    </xf>
    <xf borderId="4" fillId="2" fontId="6" numFmtId="0" xfId="0" applyAlignment="1" applyBorder="1" applyFont="1">
      <alignment horizontal="center" readingOrder="0" vertical="center"/>
    </xf>
    <xf borderId="4" fillId="2" fontId="19" numFmtId="0" xfId="0" applyAlignment="1" applyBorder="1" applyFont="1">
      <alignment horizontal="center" readingOrder="0" vertical="center"/>
    </xf>
    <xf borderId="0" fillId="2" fontId="20" numFmtId="0" xfId="0" applyAlignment="1" applyFont="1">
      <alignment horizontal="center" readingOrder="0" vertical="center"/>
    </xf>
    <xf borderId="4" fillId="3" fontId="6" numFmtId="0" xfId="0" applyAlignment="1" applyBorder="1" applyFont="1">
      <alignment horizontal="center" vertical="center"/>
    </xf>
    <xf borderId="0" fillId="0" fontId="2" numFmtId="0" xfId="0" applyAlignment="1" applyFont="1">
      <alignment vertical="center"/>
    </xf>
    <xf borderId="4" fillId="3" fontId="6" numFmtId="0" xfId="0" applyAlignment="1" applyBorder="1" applyFont="1">
      <alignment horizontal="center" vertical="bottom"/>
    </xf>
    <xf borderId="0" fillId="0" fontId="6" numFmtId="0" xfId="0" applyAlignment="1" applyFont="1">
      <alignment horizontal="center" readingOrder="0" vertical="bottom"/>
    </xf>
    <xf borderId="0" fillId="5" fontId="21" numFmtId="0" xfId="0" applyAlignment="1" applyFill="1" applyFont="1">
      <alignment horizontal="center" readingOrder="0"/>
    </xf>
    <xf borderId="1" fillId="3" fontId="18" numFmtId="0" xfId="0" applyAlignment="1" applyBorder="1" applyFont="1">
      <alignment horizontal="center" readingOrder="0" vertical="center"/>
    </xf>
    <xf borderId="4" fillId="3" fontId="22" numFmtId="0" xfId="0" applyAlignment="1" applyBorder="1" applyFont="1">
      <alignment horizontal="center" vertical="center"/>
    </xf>
    <xf borderId="4" fillId="3" fontId="10" numFmtId="0" xfId="0" applyAlignment="1" applyBorder="1" applyFont="1">
      <alignment horizontal="center" readingOrder="0" vertical="center"/>
    </xf>
    <xf borderId="1" fillId="2" fontId="15" numFmtId="166" xfId="0" applyAlignment="1" applyBorder="1" applyFont="1" applyNumberFormat="1">
      <alignment horizontal="center" readingOrder="0" vertical="center"/>
    </xf>
    <xf borderId="4" fillId="3" fontId="10" numFmtId="0" xfId="0" applyAlignment="1" applyBorder="1" applyFont="1">
      <alignment horizontal="center" vertical="bottom"/>
    </xf>
    <xf borderId="10" fillId="2" fontId="9" numFmtId="0" xfId="0" applyAlignment="1" applyBorder="1" applyFont="1">
      <alignment horizontal="center" readingOrder="0" vertical="bottom"/>
    </xf>
    <xf borderId="1" fillId="2" fontId="15" numFmtId="165" xfId="0" applyAlignment="1" applyBorder="1" applyFont="1" applyNumberFormat="1">
      <alignment horizontal="center" vertical="center"/>
    </xf>
    <xf borderId="1" fillId="2" fontId="15" numFmtId="165" xfId="0" applyAlignment="1" applyBorder="1" applyFont="1" applyNumberFormat="1">
      <alignment horizontal="center" readingOrder="0" vertical="center"/>
    </xf>
    <xf borderId="7" fillId="3" fontId="8" numFmtId="0" xfId="0" applyAlignment="1" applyBorder="1" applyFont="1">
      <alignment horizontal="center" readingOrder="0" vertical="center"/>
    </xf>
    <xf borderId="8" fillId="2" fontId="8" numFmtId="0" xfId="0" applyAlignment="1" applyBorder="1" applyFont="1">
      <alignment horizontal="center" readingOrder="0" vertical="center"/>
    </xf>
    <xf borderId="8" fillId="2" fontId="8" numFmtId="0" xfId="0" applyAlignment="1" applyBorder="1" applyFont="1">
      <alignment horizontal="center" vertical="center"/>
    </xf>
    <xf borderId="9" fillId="2" fontId="8" numFmtId="0" xfId="0" applyAlignment="1" applyBorder="1" applyFont="1">
      <alignment horizontal="center" readingOrder="0" vertical="center"/>
    </xf>
    <xf borderId="10" fillId="2" fontId="9" numFmtId="49" xfId="0" applyAlignment="1" applyBorder="1" applyFont="1" applyNumberFormat="1">
      <alignment horizontal="center" vertical="bottom"/>
    </xf>
    <xf borderId="0" fillId="0" fontId="10" numFmtId="0" xfId="0" applyAlignment="1" applyFont="1">
      <alignment horizontal="center" readingOrder="0" vertical="bottom"/>
    </xf>
    <xf borderId="10" fillId="3" fontId="6" numFmtId="0" xfId="0" applyAlignment="1" applyBorder="1" applyFont="1">
      <alignment horizontal="center" vertical="center"/>
    </xf>
    <xf borderId="10" fillId="3" fontId="6" numFmtId="0" xfId="0" applyAlignment="1" applyBorder="1" applyFont="1">
      <alignment horizontal="center" readingOrder="0" vertical="center"/>
    </xf>
    <xf borderId="10" fillId="2" fontId="9" numFmtId="0" xfId="0" applyAlignment="1" applyBorder="1" applyFont="1">
      <alignment horizontal="center" vertical="bottom"/>
    </xf>
    <xf borderId="10" fillId="2" fontId="1" numFmtId="0" xfId="0" applyAlignment="1" applyBorder="1" applyFont="1">
      <alignment horizontal="center" vertical="center"/>
    </xf>
    <xf borderId="4" fillId="2" fontId="6" numFmtId="165" xfId="0" applyAlignment="1" applyBorder="1" applyFont="1" applyNumberFormat="1">
      <alignment horizontal="center"/>
    </xf>
    <xf borderId="10" fillId="2" fontId="23" numFmtId="0" xfId="0" applyAlignment="1" applyBorder="1" applyFont="1">
      <alignment horizontal="center" readingOrder="0" vertical="center"/>
    </xf>
    <xf borderId="10" fillId="2" fontId="6" numFmtId="165" xfId="0" applyAlignment="1" applyBorder="1" applyFont="1" applyNumberFormat="1">
      <alignment horizontal="center" readingOrder="0" vertical="center"/>
    </xf>
    <xf borderId="0" fillId="0" fontId="8" numFmtId="0" xfId="0" applyAlignment="1" applyFont="1">
      <alignment horizontal="center" readingOrder="0"/>
    </xf>
    <xf borderId="1" fillId="4" fontId="16" numFmtId="165" xfId="0" applyAlignment="1" applyBorder="1" applyFont="1" applyNumberFormat="1">
      <alignment horizontal="center" readingOrder="0" vertical="center"/>
    </xf>
    <xf borderId="4" fillId="0" fontId="24" numFmtId="0" xfId="0" applyAlignment="1" applyBorder="1" applyFont="1">
      <alignment horizontal="center" vertical="center"/>
    </xf>
    <xf borderId="1" fillId="3" fontId="8" numFmtId="0" xfId="0" applyAlignment="1" applyBorder="1" applyFont="1">
      <alignment horizontal="center" readingOrder="0"/>
    </xf>
    <xf borderId="2" fillId="3" fontId="8" numFmtId="0" xfId="0" applyAlignment="1" applyBorder="1" applyFont="1">
      <alignment horizontal="center" readingOrder="0"/>
    </xf>
    <xf borderId="10" fillId="3" fontId="22" numFmtId="0" xfId="0" applyAlignment="1" applyBorder="1" applyFont="1">
      <alignment horizontal="center" readingOrder="0" vertical="center"/>
    </xf>
    <xf borderId="1" fillId="2" fontId="25" numFmtId="0" xfId="0" applyAlignment="1" applyBorder="1" applyFont="1">
      <alignment horizontal="center" readingOrder="0"/>
    </xf>
    <xf borderId="1" fillId="2" fontId="25" numFmtId="0" xfId="0" applyAlignment="1" applyBorder="1" applyFont="1">
      <alignment horizontal="center" readingOrder="0" vertical="center"/>
    </xf>
    <xf borderId="13" fillId="2" fontId="19" numFmtId="0" xfId="0" applyAlignment="1" applyBorder="1" applyFont="1">
      <alignment horizontal="center" readingOrder="0" vertical="center"/>
    </xf>
    <xf borderId="14" fillId="0" fontId="4" numFmtId="0" xfId="0" applyBorder="1" applyFont="1"/>
    <xf borderId="4" fillId="3" fontId="8" numFmtId="0" xfId="0" applyAlignment="1" applyBorder="1" applyFont="1">
      <alignment horizontal="center" readingOrder="0"/>
    </xf>
    <xf borderId="10" fillId="3" fontId="6" numFmtId="0" xfId="0" applyAlignment="1" applyBorder="1" applyFont="1">
      <alignment horizontal="center" readingOrder="0"/>
    </xf>
    <xf borderId="4" fillId="4" fontId="6" numFmtId="0" xfId="0" applyAlignment="1" applyBorder="1" applyFont="1">
      <alignment horizontal="center" readingOrder="0"/>
    </xf>
    <xf borderId="4" fillId="2" fontId="6" numFmtId="0" xfId="0" applyAlignment="1" applyBorder="1" applyFont="1">
      <alignment horizontal="center" readingOrder="0"/>
    </xf>
    <xf borderId="10" fillId="2" fontId="23" numFmtId="0" xfId="0" applyAlignment="1" applyBorder="1" applyFont="1">
      <alignment horizontal="center" readingOrder="0"/>
    </xf>
    <xf borderId="4" fillId="4" fontId="6" numFmtId="165" xfId="0" applyAlignment="1" applyBorder="1" applyFont="1" applyNumberFormat="1">
      <alignment horizontal="center" readingOrder="0"/>
    </xf>
    <xf borderId="11" fillId="3" fontId="26" numFmtId="0" xfId="0" applyAlignment="1" applyBorder="1" applyFont="1">
      <alignment horizontal="center" readingOrder="0" shrinkToFit="0" vertical="center" wrapText="1"/>
    </xf>
    <xf borderId="4" fillId="2" fontId="9" numFmtId="0" xfId="0" applyAlignment="1" applyBorder="1" applyFont="1">
      <alignment readingOrder="0"/>
    </xf>
    <xf borderId="4" fillId="2" fontId="9" numFmtId="164" xfId="0" applyAlignment="1" applyBorder="1" applyFont="1" applyNumberFormat="1">
      <alignment horizontal="center" readingOrder="0"/>
    </xf>
    <xf borderId="4" fillId="2" fontId="9" numFmtId="0" xfId="0" applyAlignment="1" applyBorder="1" applyFont="1">
      <alignment horizontal="center"/>
    </xf>
    <xf borderId="4" fillId="2" fontId="9" numFmtId="0" xfId="0" applyBorder="1" applyFont="1"/>
    <xf borderId="4" fillId="2" fontId="9" numFmtId="164" xfId="0" applyAlignment="1" applyBorder="1" applyFont="1" applyNumberFormat="1">
      <alignment horizontal="center"/>
    </xf>
    <xf borderId="4" fillId="4" fontId="8" numFmtId="0" xfId="0" applyAlignment="1" applyBorder="1" applyFont="1">
      <alignment horizontal="center" readingOrder="0"/>
    </xf>
    <xf borderId="1" fillId="2" fontId="9" numFmtId="0" xfId="0" applyAlignment="1" applyBorder="1" applyFont="1">
      <alignment shrinkToFit="0" vertical="top" wrapText="1"/>
    </xf>
    <xf borderId="10" fillId="0" fontId="2" numFmtId="0" xfId="0" applyAlignment="1" applyBorder="1" applyFont="1">
      <alignment horizontal="center" readingOrder="0" vertical="center"/>
    </xf>
    <xf borderId="13" fillId="0" fontId="2" numFmtId="165" xfId="0" applyAlignment="1" applyBorder="1" applyFont="1" applyNumberFormat="1">
      <alignment horizontal="center" vertical="center"/>
    </xf>
    <xf borderId="0" fillId="0" fontId="2" numFmtId="0" xfId="0" applyAlignment="1" applyFont="1">
      <alignment horizontal="center"/>
    </xf>
    <xf borderId="1" fillId="3" fontId="16" numFmtId="0" xfId="0" applyAlignment="1" applyBorder="1" applyFont="1">
      <alignment horizontal="center" readingOrder="0" vertical="center"/>
    </xf>
    <xf borderId="1" fillId="2" fontId="1" numFmtId="0" xfId="0" applyAlignment="1" applyBorder="1" applyFont="1">
      <alignment horizontal="center" readingOrder="0" vertical="center"/>
    </xf>
    <xf borderId="4" fillId="2" fontId="9" numFmtId="0" xfId="0" applyAlignment="1" applyBorder="1" applyFont="1">
      <alignment horizontal="center" vertical="center"/>
    </xf>
    <xf borderId="0" fillId="0" fontId="1" numFmtId="0" xfId="0" applyAlignment="1" applyFont="1">
      <alignment horizontal="center" readingOrder="0" vertical="center"/>
    </xf>
    <xf borderId="4" fillId="2" fontId="9" numFmtId="0" xfId="0" applyAlignment="1" applyBorder="1" applyFont="1">
      <alignment horizontal="left" readingOrder="0" vertical="center"/>
    </xf>
    <xf borderId="0" fillId="4" fontId="27" numFmtId="0" xfId="0" applyAlignment="1" applyFont="1">
      <alignment horizontal="right" vertical="bottom"/>
    </xf>
    <xf borderId="1" fillId="2" fontId="9" numFmtId="0" xfId="0" applyAlignment="1" applyBorder="1" applyFont="1">
      <alignment horizontal="center" readingOrder="0" shrinkToFit="0" vertical="top" wrapText="1"/>
    </xf>
    <xf borderId="1" fillId="2" fontId="6" numFmtId="0" xfId="0" applyAlignment="1" applyBorder="1" applyFont="1">
      <alignment horizontal="center" readingOrder="0" shrinkToFit="0" vertical="top" wrapText="1"/>
    </xf>
    <xf borderId="4" fillId="3" fontId="24" numFmtId="0" xfId="0" applyAlignment="1" applyBorder="1" applyFont="1">
      <alignment horizontal="left" readingOrder="0" vertical="center"/>
    </xf>
    <xf borderId="4" fillId="2" fontId="9" numFmtId="0" xfId="0" applyAlignment="1" applyBorder="1" applyFont="1">
      <alignment horizontal="center" vertical="center"/>
    </xf>
    <xf borderId="4" fillId="3" fontId="6" numFmtId="0" xfId="0" applyAlignment="1" applyBorder="1" applyFont="1">
      <alignment horizontal="center" readingOrder="0" vertical="bottom"/>
    </xf>
    <xf borderId="4" fillId="2" fontId="9" numFmtId="0" xfId="0" applyAlignment="1" applyBorder="1" applyFont="1">
      <alignment horizontal="center"/>
    </xf>
    <xf borderId="0" fillId="0" fontId="1" numFmtId="0" xfId="0" applyAlignment="1" applyFont="1">
      <alignment horizontal="center" readingOrder="0"/>
    </xf>
    <xf borderId="0" fillId="0" fontId="6" numFmtId="0" xfId="0" applyAlignment="1" applyFont="1">
      <alignment horizontal="center" vertical="bottom"/>
    </xf>
    <xf borderId="0" fillId="0" fontId="28" numFmtId="0" xfId="0" applyAlignment="1" applyFont="1">
      <alignment horizontal="center" readingOrder="0" vertical="center"/>
    </xf>
    <xf borderId="0" fillId="0" fontId="16" numFmtId="0" xfId="0" applyAlignment="1" applyFont="1">
      <alignment horizontal="center" readingOrder="0" vertical="center"/>
    </xf>
    <xf borderId="13" fillId="3" fontId="29" numFmtId="0" xfId="0" applyAlignment="1" applyBorder="1" applyFont="1">
      <alignment vertical="bottom"/>
    </xf>
    <xf borderId="15" fillId="0" fontId="4" numFmtId="0" xfId="0" applyBorder="1" applyFont="1"/>
    <xf borderId="1" fillId="2" fontId="19" numFmtId="0" xfId="0" applyAlignment="1" applyBorder="1" applyFont="1">
      <alignment horizontal="center" readingOrder="0" shrinkToFit="0" vertical="top" wrapText="1"/>
    </xf>
    <xf borderId="4" fillId="2" fontId="8" numFmtId="0" xfId="0" applyAlignment="1" applyBorder="1" applyFont="1">
      <alignment horizontal="center" readingOrder="0" vertical="center"/>
    </xf>
    <xf borderId="1" fillId="2" fontId="12" numFmtId="0" xfId="0" applyAlignment="1" applyBorder="1" applyFont="1">
      <alignment horizontal="center" readingOrder="0" shrinkToFit="0" vertical="center" wrapText="1"/>
    </xf>
    <xf borderId="12" fillId="3" fontId="9" numFmtId="0" xfId="0" applyAlignment="1" applyBorder="1" applyFont="1">
      <alignment horizontal="center" readingOrder="0" vertical="center"/>
    </xf>
    <xf borderId="11" fillId="3" fontId="9" numFmtId="0" xfId="0" applyAlignment="1" applyBorder="1" applyFont="1">
      <alignment horizontal="center" readingOrder="0" vertical="center"/>
    </xf>
    <xf borderId="4" fillId="3" fontId="10" numFmtId="0" xfId="0" applyAlignment="1" applyBorder="1" applyFont="1">
      <alignment horizontal="center" vertical="center"/>
    </xf>
    <xf borderId="15" fillId="3" fontId="9" numFmtId="0" xfId="0" applyAlignment="1" applyBorder="1" applyFont="1">
      <alignment horizontal="center" readingOrder="0" vertical="center"/>
    </xf>
    <xf borderId="1" fillId="2" fontId="16" numFmtId="49" xfId="0" applyAlignment="1" applyBorder="1" applyFont="1" applyNumberFormat="1">
      <alignment horizontal="center" vertical="center"/>
    </xf>
    <xf borderId="5" fillId="3" fontId="10" numFmtId="0" xfId="0" applyAlignment="1" applyBorder="1" applyFont="1">
      <alignment horizontal="center" vertical="center"/>
    </xf>
    <xf borderId="4" fillId="2" fontId="9" numFmtId="0" xfId="0" applyAlignment="1" applyBorder="1" applyFont="1">
      <alignment horizontal="center" readingOrder="0" vertical="bottom"/>
    </xf>
    <xf borderId="2" fillId="3" fontId="10" numFmtId="0" xfId="0" applyAlignment="1" applyBorder="1" applyFont="1">
      <alignment horizontal="center" vertical="center"/>
    </xf>
    <xf borderId="1" fillId="2" fontId="9" numFmtId="0" xfId="0" applyAlignment="1" applyBorder="1" applyFont="1">
      <alignment horizontal="center" readingOrder="0" vertical="center"/>
    </xf>
    <xf borderId="7" fillId="3" fontId="9" numFmtId="0" xfId="0" applyAlignment="1" applyBorder="1" applyFont="1">
      <alignment horizontal="center" readingOrder="0" vertical="center"/>
    </xf>
    <xf borderId="8" fillId="3" fontId="9" numFmtId="0" xfId="0" applyAlignment="1" applyBorder="1" applyFont="1">
      <alignment horizontal="center" readingOrder="0" vertical="center"/>
    </xf>
    <xf borderId="9" fillId="3" fontId="9" numFmtId="0" xfId="0" applyAlignment="1" applyBorder="1" applyFont="1">
      <alignment horizontal="center" readingOrder="0" vertical="center"/>
    </xf>
    <xf borderId="1" fillId="2" fontId="15" numFmtId="0" xfId="0" applyAlignment="1" applyBorder="1" applyFont="1">
      <alignment horizontal="center" vertical="center"/>
    </xf>
    <xf borderId="13" fillId="3" fontId="29" numFmtId="0" xfId="0" applyAlignment="1" applyBorder="1" applyFont="1">
      <alignment vertical="bottom"/>
    </xf>
    <xf borderId="1" fillId="2" fontId="15" numFmtId="0" xfId="0" applyAlignment="1" applyBorder="1" applyFont="1">
      <alignment horizontal="center" vertical="center"/>
    </xf>
    <xf borderId="1" fillId="3" fontId="25" numFmtId="0" xfId="0" applyAlignment="1" applyBorder="1" applyFont="1">
      <alignment horizontal="center" readingOrder="0" shrinkToFit="0" vertical="center" wrapText="1"/>
    </xf>
    <xf borderId="1" fillId="3" fontId="25" numFmtId="0" xfId="0" applyAlignment="1" applyBorder="1" applyFont="1">
      <alignment horizontal="center" shrinkToFit="0" vertical="center" wrapText="1"/>
    </xf>
    <xf borderId="1" fillId="3" fontId="25" numFmtId="0" xfId="0" applyAlignment="1" applyBorder="1" applyFont="1">
      <alignment horizontal="center" shrinkToFit="0" vertical="center" wrapText="1"/>
    </xf>
    <xf borderId="0" fillId="0" fontId="15" numFmtId="0" xfId="0" applyAlignment="1" applyFont="1">
      <alignment horizontal="center" readingOrder="0" vertical="center"/>
    </xf>
    <xf borderId="1" fillId="3" fontId="30" numFmtId="0" xfId="0" applyAlignment="1" applyBorder="1" applyFont="1">
      <alignment horizontal="center"/>
    </xf>
    <xf borderId="0" fillId="0" fontId="13" numFmtId="0" xfId="0" applyAlignment="1" applyFont="1">
      <alignment horizontal="center" readingOrder="0" vertical="center"/>
    </xf>
    <xf borderId="1" fillId="3" fontId="30" numFmtId="0" xfId="0" applyAlignment="1" applyBorder="1" applyFont="1">
      <alignment horizontal="center" readingOrder="0"/>
    </xf>
    <xf borderId="4" fillId="3" fontId="29" numFmtId="0" xfId="0" applyAlignment="1" applyBorder="1" applyFont="1">
      <alignment vertical="bottom"/>
    </xf>
    <xf borderId="2" fillId="2" fontId="29" numFmtId="0" xfId="0" applyBorder="1" applyFont="1"/>
    <xf borderId="1" fillId="4" fontId="29" numFmtId="0" xfId="0" applyBorder="1" applyFont="1"/>
    <xf borderId="1" fillId="2" fontId="29" numFmtId="0" xfId="0" applyBorder="1" applyFont="1"/>
    <xf borderId="1" fillId="2" fontId="29" numFmtId="167" xfId="0" applyBorder="1" applyFont="1" applyNumberFormat="1"/>
    <xf borderId="5" fillId="3" fontId="6" numFmtId="0" xfId="0" applyAlignment="1" applyBorder="1" applyFont="1">
      <alignment horizontal="center" readingOrder="0" vertical="center"/>
    </xf>
    <xf borderId="1" fillId="3" fontId="6"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0" fillId="3" fontId="6" numFmtId="0" xfId="0" applyAlignment="1" applyFont="1">
      <alignment horizontal="center" readingOrder="0" vertical="center"/>
    </xf>
    <xf borderId="4" fillId="3" fontId="18" numFmtId="0" xfId="0" applyAlignment="1" applyBorder="1" applyFont="1">
      <alignment horizontal="center" readingOrder="0"/>
    </xf>
    <xf borderId="2" fillId="3" fontId="6" numFmtId="0" xfId="0" applyAlignment="1" applyBorder="1" applyFont="1">
      <alignment horizontal="center" vertical="bottom"/>
    </xf>
    <xf borderId="4" fillId="3" fontId="6" numFmtId="0" xfId="0" applyAlignment="1" applyBorder="1" applyFont="1">
      <alignment vertical="bottom"/>
    </xf>
    <xf borderId="4" fillId="2" fontId="9" numFmtId="164" xfId="0" applyAlignment="1" applyBorder="1" applyFont="1" applyNumberFormat="1">
      <alignment horizontal="center" vertical="bottom"/>
    </xf>
    <xf borderId="4" fillId="3" fontId="6" numFmtId="0" xfId="0" applyAlignment="1" applyBorder="1" applyFont="1">
      <alignment readingOrder="0" vertical="bottom"/>
    </xf>
    <xf borderId="4" fillId="3" fontId="18" numFmtId="0" xfId="0" applyAlignment="1" applyBorder="1" applyFont="1">
      <alignment horizontal="center"/>
    </xf>
    <xf borderId="4" fillId="2" fontId="29" numFmtId="0" xfId="0" applyAlignment="1" applyBorder="1" applyFont="1">
      <alignment vertical="bottom"/>
    </xf>
    <xf borderId="4" fillId="3" fontId="14" numFmtId="0" xfId="0" applyAlignment="1" applyBorder="1" applyFont="1">
      <alignment horizontal="center" vertical="bottom"/>
    </xf>
    <xf borderId="4" fillId="2" fontId="31" numFmtId="0" xfId="0" applyAlignment="1" applyBorder="1" applyFont="1">
      <alignment horizontal="center" readingOrder="0"/>
    </xf>
    <xf borderId="4" fillId="2" fontId="29" numFmtId="164" xfId="0" applyAlignment="1" applyBorder="1" applyFont="1" applyNumberFormat="1">
      <alignment vertical="bottom"/>
    </xf>
    <xf borderId="4" fillId="2" fontId="29" numFmtId="0" xfId="0" applyAlignment="1" applyBorder="1" applyFont="1">
      <alignment vertical="bottom"/>
    </xf>
    <xf borderId="0" fillId="4" fontId="2" numFmtId="0" xfId="0" applyFont="1"/>
    <xf borderId="0" fillId="3" fontId="15" numFmtId="0" xfId="0" applyAlignment="1" applyFont="1">
      <alignment horizontal="center" readingOrder="0" vertical="center"/>
    </xf>
    <xf borderId="13" fillId="3" fontId="2" numFmtId="0" xfId="0" applyBorder="1" applyFont="1"/>
    <xf borderId="4" fillId="3" fontId="7" numFmtId="0" xfId="0" applyAlignment="1" applyBorder="1" applyFont="1">
      <alignment horizontal="center" readingOrder="0" shrinkToFit="0" vertical="center" wrapText="1"/>
    </xf>
    <xf borderId="13" fillId="3" fontId="7" numFmtId="0" xfId="0" applyAlignment="1" applyBorder="1" applyFont="1">
      <alignment horizontal="center" readingOrder="0" shrinkToFit="0" vertical="center" wrapText="1"/>
    </xf>
    <xf borderId="4" fillId="3" fontId="19" numFmtId="0" xfId="0" applyAlignment="1" applyBorder="1" applyFont="1">
      <alignment horizontal="center" readingOrder="0" shrinkToFit="0" vertical="center" wrapText="1"/>
    </xf>
    <xf borderId="4" fillId="2" fontId="19" numFmtId="0" xfId="0" applyAlignment="1" applyBorder="1" applyFont="1">
      <alignment horizontal="center" readingOrder="0" shrinkToFit="0" vertical="center" wrapText="1"/>
    </xf>
    <xf borderId="4" fillId="3" fontId="9" numFmtId="0" xfId="0" applyAlignment="1" applyBorder="1" applyFont="1">
      <alignment horizontal="center" readingOrder="0"/>
    </xf>
    <xf borderId="1" fillId="2" fontId="17" numFmtId="0" xfId="0" applyAlignment="1" applyBorder="1" applyFont="1">
      <alignment horizontal="center" readingOrder="0" shrinkToFit="0" vertical="top" wrapText="1"/>
    </xf>
    <xf borderId="1" fillId="2" fontId="25" numFmtId="0" xfId="0" applyAlignment="1" applyBorder="1" applyFont="1">
      <alignment horizontal="center" readingOrder="0" shrinkToFit="0" vertical="top" wrapText="1"/>
    </xf>
    <xf borderId="1" fillId="3" fontId="7" numFmtId="0" xfId="0" applyAlignment="1" applyBorder="1" applyFont="1">
      <alignment horizontal="center" readingOrder="0" shrinkToFit="0" vertical="center" wrapText="1"/>
    </xf>
    <xf borderId="1" fillId="3" fontId="2" numFmtId="0" xfId="0" applyBorder="1" applyFont="1"/>
    <xf borderId="14" fillId="3" fontId="7" numFmtId="0" xfId="0" applyAlignment="1" applyBorder="1" applyFont="1">
      <alignment horizontal="center" readingOrder="0" shrinkToFit="0" vertical="center" wrapText="1"/>
    </xf>
    <xf borderId="4" fillId="3" fontId="2" numFmtId="0" xfId="0" applyBorder="1" applyFont="1"/>
    <xf borderId="0" fillId="0" fontId="7" numFmtId="0" xfId="0" applyAlignment="1" applyFont="1">
      <alignment horizontal="center" readingOrder="0" shrinkToFit="0" vertical="center" wrapText="1"/>
    </xf>
  </cellXfs>
  <cellStyles count="1">
    <cellStyle xfId="0" name="Normal" builtinId="0"/>
  </cellStyles>
  <dxfs count="3">
    <dxf>
      <font/>
      <fill>
        <patternFill patternType="solid">
          <fgColor rgb="FFB7E1CD"/>
          <bgColor rgb="FFB7E1CD"/>
        </patternFill>
      </fill>
      <border/>
    </dxf>
    <dxf>
      <font/>
      <fill>
        <patternFill patternType="solid">
          <fgColor rgb="FF666666"/>
          <bgColor rgb="FF666666"/>
        </patternFill>
      </fill>
      <border/>
    </dxf>
    <dxf>
      <font>
        <color rgb="FF666666"/>
      </font>
      <fill>
        <patternFill patternType="solid">
          <fgColor rgb="FF666666"/>
          <bgColor rgb="FF66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72" width="3.25"/>
  </cols>
  <sheetData>
    <row r="1">
      <c r="A1" s="1"/>
    </row>
    <row r="2">
      <c r="A2" s="2"/>
      <c r="B2" s="3" t="s">
        <v>0</v>
      </c>
      <c r="C2" s="4"/>
      <c r="D2" s="4"/>
      <c r="E2" s="4"/>
      <c r="F2" s="4"/>
      <c r="G2" s="4"/>
      <c r="H2" s="4"/>
      <c r="I2" s="4"/>
      <c r="J2" s="4"/>
      <c r="K2" s="4"/>
      <c r="L2" s="4"/>
      <c r="M2" s="5"/>
      <c r="N2" s="6"/>
      <c r="O2" s="7" t="s">
        <v>1</v>
      </c>
      <c r="P2" s="4"/>
      <c r="Q2" s="4"/>
      <c r="R2" s="5"/>
      <c r="S2" s="8"/>
      <c r="T2" s="4"/>
      <c r="U2" s="4"/>
      <c r="V2" s="4"/>
      <c r="W2" s="4"/>
      <c r="X2" s="4"/>
      <c r="Y2" s="4"/>
      <c r="Z2" s="4"/>
      <c r="AA2" s="4"/>
      <c r="AB2" s="5"/>
      <c r="AC2" s="9" t="s">
        <v>2</v>
      </c>
      <c r="AD2" s="10"/>
      <c r="AE2" s="10"/>
      <c r="AF2" s="10"/>
      <c r="AG2" s="11"/>
      <c r="AH2" s="12"/>
      <c r="AI2" s="10"/>
      <c r="AJ2" s="10"/>
      <c r="AK2" s="10"/>
      <c r="AL2" s="10"/>
      <c r="AM2" s="10"/>
      <c r="AN2" s="10"/>
      <c r="AO2" s="11"/>
      <c r="AP2" s="9" t="s">
        <v>3</v>
      </c>
      <c r="AQ2" s="10"/>
      <c r="AR2" s="10"/>
      <c r="AS2" s="10"/>
      <c r="AT2" s="11"/>
      <c r="AU2" s="12"/>
      <c r="AV2" s="10"/>
      <c r="AW2" s="10"/>
      <c r="AX2" s="10"/>
      <c r="AY2" s="10"/>
      <c r="AZ2" s="10"/>
      <c r="BA2" s="10"/>
      <c r="BB2" s="11"/>
      <c r="BC2" s="2"/>
      <c r="BD2" s="13" t="s">
        <v>4</v>
      </c>
      <c r="BE2" s="10"/>
      <c r="BF2" s="11"/>
      <c r="BG2" s="2"/>
      <c r="BH2" s="14" t="s">
        <v>5</v>
      </c>
      <c r="BI2" s="10"/>
      <c r="BJ2" s="11"/>
      <c r="BK2" s="15" t="s">
        <v>6</v>
      </c>
    </row>
    <row r="3">
      <c r="B3" s="16"/>
      <c r="C3" s="17"/>
      <c r="D3" s="17"/>
      <c r="E3" s="17"/>
      <c r="F3" s="17"/>
      <c r="G3" s="17"/>
      <c r="H3" s="17"/>
      <c r="I3" s="17"/>
      <c r="J3" s="17"/>
      <c r="K3" s="17"/>
      <c r="L3" s="17"/>
      <c r="M3" s="18"/>
      <c r="O3" s="16"/>
      <c r="P3" s="17"/>
      <c r="Q3" s="17"/>
      <c r="R3" s="18"/>
      <c r="S3" s="16"/>
      <c r="T3" s="17"/>
      <c r="U3" s="17"/>
      <c r="V3" s="17"/>
      <c r="W3" s="17"/>
      <c r="X3" s="17"/>
      <c r="Y3" s="17"/>
      <c r="Z3" s="17"/>
      <c r="AA3" s="17"/>
      <c r="AB3" s="18"/>
      <c r="AC3" s="9" t="s">
        <v>7</v>
      </c>
      <c r="AD3" s="10"/>
      <c r="AE3" s="10"/>
      <c r="AF3" s="10"/>
      <c r="AG3" s="11"/>
      <c r="AH3" s="12"/>
      <c r="AI3" s="10"/>
      <c r="AJ3" s="10"/>
      <c r="AK3" s="10"/>
      <c r="AL3" s="10"/>
      <c r="AM3" s="10"/>
      <c r="AN3" s="10"/>
      <c r="AO3" s="11"/>
      <c r="AP3" s="9" t="s">
        <v>8</v>
      </c>
      <c r="AQ3" s="10"/>
      <c r="AR3" s="10"/>
      <c r="AS3" s="10"/>
      <c r="AT3" s="11"/>
      <c r="AU3" s="12"/>
      <c r="AV3" s="10"/>
      <c r="AW3" s="10"/>
      <c r="AX3" s="10"/>
      <c r="AY3" s="10"/>
      <c r="AZ3" s="10"/>
      <c r="BA3" s="10"/>
      <c r="BB3" s="11"/>
      <c r="BD3" s="19">
        <v>1.0</v>
      </c>
      <c r="BE3" s="4"/>
      <c r="BF3" s="5"/>
      <c r="BH3" s="20">
        <f>Int(SUM(1+ROUNDUP(BD3/4,0)))</f>
        <v>2</v>
      </c>
      <c r="BI3" s="4"/>
      <c r="BJ3" s="5"/>
    </row>
    <row r="4">
      <c r="B4" s="2"/>
      <c r="C4" s="13" t="s">
        <v>9</v>
      </c>
      <c r="D4" s="10"/>
      <c r="E4" s="10"/>
      <c r="F4" s="10"/>
      <c r="G4" s="10"/>
      <c r="H4" s="10"/>
      <c r="I4" s="10"/>
      <c r="J4" s="10"/>
      <c r="K4" s="10"/>
      <c r="L4" s="11"/>
      <c r="M4" s="2"/>
      <c r="O4" s="21" t="s">
        <v>10</v>
      </c>
      <c r="P4" s="10"/>
      <c r="Q4" s="10"/>
      <c r="R4" s="11"/>
      <c r="S4" s="12"/>
      <c r="T4" s="10"/>
      <c r="U4" s="10"/>
      <c r="V4" s="10"/>
      <c r="W4" s="10"/>
      <c r="X4" s="10"/>
      <c r="Y4" s="10"/>
      <c r="Z4" s="10"/>
      <c r="AA4" s="10"/>
      <c r="AB4" s="11"/>
      <c r="AC4" s="9" t="s">
        <v>11</v>
      </c>
      <c r="AD4" s="10"/>
      <c r="AE4" s="10"/>
      <c r="AF4" s="10"/>
      <c r="AG4" s="11"/>
      <c r="AH4" s="12"/>
      <c r="AI4" s="10"/>
      <c r="AJ4" s="10"/>
      <c r="AK4" s="10"/>
      <c r="AL4" s="10"/>
      <c r="AM4" s="10"/>
      <c r="AN4" s="10"/>
      <c r="AO4" s="11"/>
      <c r="AP4" s="9" t="s">
        <v>12</v>
      </c>
      <c r="AQ4" s="10"/>
      <c r="AR4" s="10"/>
      <c r="AS4" s="10"/>
      <c r="AT4" s="11"/>
      <c r="AU4" s="12"/>
      <c r="AV4" s="10"/>
      <c r="AW4" s="10"/>
      <c r="AX4" s="10"/>
      <c r="AY4" s="10"/>
      <c r="AZ4" s="10"/>
      <c r="BA4" s="10"/>
      <c r="BB4" s="11"/>
      <c r="BD4" s="16"/>
      <c r="BE4" s="17"/>
      <c r="BF4" s="18"/>
      <c r="BH4" s="16"/>
      <c r="BI4" s="17"/>
      <c r="BJ4" s="18"/>
    </row>
    <row r="5">
      <c r="A5" s="2"/>
    </row>
    <row r="6">
      <c r="A6" s="2"/>
      <c r="B6" s="22" t="s">
        <v>13</v>
      </c>
      <c r="C6" s="4"/>
      <c r="D6" s="4"/>
      <c r="E6" s="4"/>
      <c r="F6" s="4"/>
      <c r="G6" s="4"/>
      <c r="H6" s="4"/>
      <c r="I6" s="4"/>
      <c r="J6" s="4"/>
      <c r="K6" s="4"/>
      <c r="L6" s="4"/>
      <c r="M6" s="5"/>
      <c r="N6" s="2"/>
      <c r="O6" s="13" t="s">
        <v>14</v>
      </c>
      <c r="P6" s="10"/>
      <c r="Q6" s="10"/>
      <c r="R6" s="10"/>
      <c r="S6" s="10"/>
      <c r="T6" s="10"/>
      <c r="U6" s="10"/>
      <c r="V6" s="10"/>
      <c r="W6" s="11"/>
      <c r="X6" s="13" t="s">
        <v>15</v>
      </c>
      <c r="Y6" s="10"/>
      <c r="Z6" s="10"/>
      <c r="AA6" s="11"/>
      <c r="AB6" s="23"/>
      <c r="AC6" s="13" t="s">
        <v>16</v>
      </c>
      <c r="AD6" s="10"/>
      <c r="AE6" s="10"/>
      <c r="AF6" s="10"/>
      <c r="AG6" s="10"/>
      <c r="AH6" s="10"/>
      <c r="AI6" s="10"/>
      <c r="AJ6" s="10"/>
      <c r="AK6" s="11"/>
      <c r="AL6" s="23"/>
      <c r="AM6" s="13" t="s">
        <v>17</v>
      </c>
      <c r="AN6" s="10"/>
      <c r="AO6" s="10"/>
      <c r="AP6" s="10"/>
      <c r="AQ6" s="10"/>
      <c r="AR6" s="10"/>
      <c r="AS6" s="10"/>
      <c r="AT6" s="10"/>
      <c r="AU6" s="10"/>
      <c r="AV6" s="10"/>
      <c r="AW6" s="10"/>
      <c r="AX6" s="11"/>
      <c r="AY6" s="23"/>
      <c r="AZ6" s="13" t="s">
        <v>18</v>
      </c>
      <c r="BA6" s="10"/>
      <c r="BB6" s="10"/>
      <c r="BC6" s="10"/>
      <c r="BD6" s="10"/>
      <c r="BE6" s="11"/>
      <c r="BF6" s="23"/>
      <c r="BG6" s="24"/>
      <c r="BH6" s="25" t="s">
        <v>19</v>
      </c>
      <c r="BI6" s="4"/>
      <c r="BJ6" s="4"/>
      <c r="BK6" s="4"/>
      <c r="BL6" s="4"/>
      <c r="BM6" s="4"/>
      <c r="BN6" s="4"/>
      <c r="BO6" s="4"/>
      <c r="BP6" s="4"/>
      <c r="BQ6" s="4"/>
      <c r="BR6" s="4"/>
      <c r="BS6" s="5"/>
      <c r="BT6" s="24"/>
    </row>
    <row r="7">
      <c r="B7" s="16"/>
      <c r="C7" s="17"/>
      <c r="D7" s="17"/>
      <c r="E7" s="17"/>
      <c r="F7" s="17"/>
      <c r="G7" s="17"/>
      <c r="H7" s="17"/>
      <c r="I7" s="17"/>
      <c r="J7" s="17"/>
      <c r="K7" s="17"/>
      <c r="L7" s="17"/>
      <c r="M7" s="18"/>
      <c r="O7" s="13" t="s">
        <v>20</v>
      </c>
      <c r="P7" s="10"/>
      <c r="Q7" s="11"/>
      <c r="R7" s="13" t="s">
        <v>21</v>
      </c>
      <c r="S7" s="10"/>
      <c r="T7" s="11"/>
      <c r="U7" s="13" t="s">
        <v>22</v>
      </c>
      <c r="V7" s="10"/>
      <c r="W7" s="11"/>
      <c r="X7" s="21" t="s">
        <v>23</v>
      </c>
      <c r="Y7" s="10"/>
      <c r="Z7" s="11"/>
      <c r="AA7" s="26" t="b">
        <v>0</v>
      </c>
      <c r="AB7" s="23"/>
      <c r="AC7" s="13" t="s">
        <v>20</v>
      </c>
      <c r="AD7" s="10"/>
      <c r="AE7" s="11"/>
      <c r="AF7" s="13" t="s">
        <v>21</v>
      </c>
      <c r="AG7" s="10"/>
      <c r="AH7" s="11"/>
      <c r="AI7" s="13" t="s">
        <v>22</v>
      </c>
      <c r="AJ7" s="10"/>
      <c r="AK7" s="11"/>
      <c r="AL7" s="23"/>
      <c r="AM7" s="13" t="s">
        <v>24</v>
      </c>
      <c r="AN7" s="10"/>
      <c r="AO7" s="11"/>
      <c r="AP7" s="13" t="s">
        <v>21</v>
      </c>
      <c r="AQ7" s="10"/>
      <c r="AR7" s="11"/>
      <c r="AS7" s="13" t="s">
        <v>25</v>
      </c>
      <c r="AT7" s="10"/>
      <c r="AU7" s="11"/>
      <c r="AV7" s="27" t="s">
        <v>26</v>
      </c>
      <c r="AW7" s="4"/>
      <c r="AX7" s="5"/>
      <c r="AY7" s="23"/>
      <c r="AZ7" s="28" t="s">
        <v>27</v>
      </c>
      <c r="BA7" s="10"/>
      <c r="BB7" s="11"/>
      <c r="BC7" s="14" t="s">
        <v>28</v>
      </c>
      <c r="BD7" s="11"/>
      <c r="BE7" s="29">
        <v>10.0</v>
      </c>
      <c r="BF7" s="23"/>
      <c r="BH7" s="16"/>
      <c r="BI7" s="17"/>
      <c r="BJ7" s="17"/>
      <c r="BK7" s="17"/>
      <c r="BL7" s="17"/>
      <c r="BM7" s="17"/>
      <c r="BN7" s="17"/>
      <c r="BO7" s="17"/>
      <c r="BP7" s="17"/>
      <c r="BQ7" s="17"/>
      <c r="BR7" s="17"/>
      <c r="BS7" s="18"/>
    </row>
    <row r="8">
      <c r="B8" s="30" t="s">
        <v>29</v>
      </c>
      <c r="C8" s="10"/>
      <c r="D8" s="10"/>
      <c r="E8" s="11"/>
      <c r="F8" s="30" t="s">
        <v>30</v>
      </c>
      <c r="G8" s="10"/>
      <c r="H8" s="10"/>
      <c r="I8" s="11"/>
      <c r="J8" s="30" t="s">
        <v>31</v>
      </c>
      <c r="K8" s="10"/>
      <c r="L8" s="10"/>
      <c r="M8" s="11"/>
      <c r="O8" s="31">
        <f>U8-R8</f>
        <v>0</v>
      </c>
      <c r="P8" s="4"/>
      <c r="Q8" s="5"/>
      <c r="R8" s="31"/>
      <c r="S8" s="4"/>
      <c r="T8" s="5"/>
      <c r="U8" s="32">
        <f>AM8</f>
        <v>0</v>
      </c>
      <c r="V8" s="4"/>
      <c r="W8" s="5"/>
      <c r="X8" s="33" t="s">
        <v>32</v>
      </c>
      <c r="Y8" s="10"/>
      <c r="Z8" s="11"/>
      <c r="AA8" s="26" t="b">
        <v>0</v>
      </c>
      <c r="AB8" s="23"/>
      <c r="AC8" s="31"/>
      <c r="AD8" s="4"/>
      <c r="AE8" s="5"/>
      <c r="AF8" s="31"/>
      <c r="AG8" s="4"/>
      <c r="AH8" s="5"/>
      <c r="AI8" s="32"/>
      <c r="AJ8" s="4"/>
      <c r="AK8" s="5"/>
      <c r="AL8" s="23"/>
      <c r="AM8" s="31">
        <f>AS8-AP8</f>
        <v>0</v>
      </c>
      <c r="AN8" s="4"/>
      <c r="AO8" s="5"/>
      <c r="AP8" s="31"/>
      <c r="AQ8" s="4"/>
      <c r="AR8" s="5"/>
      <c r="AS8" s="32">
        <f>IFS(AH3 = "Lutador", Calculos!C2, AH3 = "Especialista em Combate", Calculos!D2, AH3 = "Especialista em Técnica", Calculos!E2, AH3 = "Suporte", Calculos!F2, AH3 = "Controlador", Calculos!G2,AH3 = "Restringido", Calculos!H2, TRUE, 0)
+IF(AA7 = TRUE, IF(BD3 &gt;= 10, Con+(1*BD3), 1*BD3), +0)
+IF(AA8 = TRUE, 1*BD3, 0)
+IF(AA9 = TRUE, 1*BD3, 0)
+IF(AA10 = TRUE, 1*BD3, 0)
+Z11
+IF(Treinamentos!AS17 = TRUE, 4, 0)
+IF(Treinamentos!AS20 = TRUE, 16, 0)</f>
        <v>0</v>
      </c>
      <c r="AT8" s="4"/>
      <c r="AU8" s="5"/>
      <c r="AV8" s="16"/>
      <c r="AW8" s="17"/>
      <c r="AX8" s="18"/>
      <c r="AY8" s="23"/>
      <c r="AZ8" s="34">
        <f>BE7+BE8+BE9+BE10+BE11+IF(Treinamentos!I18 = TRUE, +2, +0)</f>
        <v>10</v>
      </c>
      <c r="BA8" s="4"/>
      <c r="BB8" s="5"/>
      <c r="BC8" s="14" t="s">
        <v>33</v>
      </c>
      <c r="BD8" s="11"/>
      <c r="BE8" s="29"/>
      <c r="BF8" s="23"/>
      <c r="BH8" s="13" t="s">
        <v>34</v>
      </c>
      <c r="BI8" s="10"/>
      <c r="BJ8" s="10"/>
      <c r="BK8" s="10"/>
      <c r="BL8" s="10"/>
      <c r="BM8" s="11"/>
      <c r="BN8" s="13" t="s">
        <v>35</v>
      </c>
      <c r="BO8" s="11"/>
      <c r="BP8" s="13" t="s">
        <v>36</v>
      </c>
      <c r="BQ8" s="11"/>
      <c r="BR8" s="13" t="s">
        <v>37</v>
      </c>
      <c r="BS8" s="11"/>
    </row>
    <row r="9">
      <c r="B9" s="35" t="s">
        <v>38</v>
      </c>
      <c r="C9" s="5"/>
      <c r="D9" s="35" t="s">
        <v>39</v>
      </c>
      <c r="E9" s="5"/>
      <c r="F9" s="35" t="s">
        <v>38</v>
      </c>
      <c r="G9" s="5"/>
      <c r="H9" s="35" t="s">
        <v>39</v>
      </c>
      <c r="I9" s="5"/>
      <c r="J9" s="35" t="s">
        <v>38</v>
      </c>
      <c r="K9" s="5"/>
      <c r="L9" s="35" t="s">
        <v>39</v>
      </c>
      <c r="M9" s="5"/>
      <c r="O9" s="36"/>
      <c r="Q9" s="37"/>
      <c r="R9" s="36"/>
      <c r="T9" s="37"/>
      <c r="U9" s="36"/>
      <c r="W9" s="37"/>
      <c r="X9" s="21" t="s">
        <v>40</v>
      </c>
      <c r="Y9" s="10"/>
      <c r="Z9" s="11"/>
      <c r="AA9" s="26" t="b">
        <v>0</v>
      </c>
      <c r="AB9" s="23"/>
      <c r="AC9" s="36"/>
      <c r="AE9" s="37"/>
      <c r="AF9" s="36"/>
      <c r="AH9" s="37"/>
      <c r="AI9" s="36"/>
      <c r="AK9" s="37"/>
      <c r="AL9" s="23"/>
      <c r="AM9" s="36"/>
      <c r="AO9" s="37"/>
      <c r="AP9" s="36"/>
      <c r="AR9" s="37"/>
      <c r="AS9" s="36"/>
      <c r="AU9" s="37"/>
      <c r="AV9" s="38" t="str">
        <f>IFS(AM8&lt;=0, "Morto", AM8&lt;=AS8*0.25, "Crítico", AM8&lt;=AS8*0.5, "Instável", AM8&lt;=AS8*0.75, "Danificado", TRUE, "Estavel")
</f>
        <v>Morto</v>
      </c>
      <c r="AW9" s="10"/>
      <c r="AX9" s="11"/>
      <c r="AY9" s="23"/>
      <c r="AZ9" s="36"/>
      <c r="BB9" s="37"/>
      <c r="BC9" s="14" t="s">
        <v>41</v>
      </c>
      <c r="BD9" s="11"/>
      <c r="BE9" s="39">
        <f>Des</f>
        <v>0</v>
      </c>
      <c r="BF9" s="23"/>
      <c r="BH9" s="40"/>
      <c r="BI9" s="10"/>
      <c r="BJ9" s="10"/>
      <c r="BK9" s="10"/>
      <c r="BL9" s="10"/>
      <c r="BM9" s="11"/>
      <c r="BN9" s="41"/>
      <c r="BO9" s="11"/>
      <c r="BP9" s="41"/>
      <c r="BQ9" s="11"/>
      <c r="BR9" s="41"/>
      <c r="BS9" s="11"/>
    </row>
    <row r="10">
      <c r="B10" s="8">
        <v>10.0</v>
      </c>
      <c r="C10" s="5"/>
      <c r="D10" s="42">
        <f>IF(B10&gt;=10,ROUNDDOWN((B10-10)/2,0),ROUNDUP((B10-10)/2,0))</f>
        <v>0</v>
      </c>
      <c r="E10" s="5"/>
      <c r="F10" s="8">
        <v>10.0</v>
      </c>
      <c r="G10" s="5"/>
      <c r="H10" s="42">
        <f>IF(F10&gt;=10,ROUNDDOWN((F10-10)/2,0),ROUNDUP((F10-10)/2,0))</f>
        <v>0</v>
      </c>
      <c r="I10" s="5"/>
      <c r="J10" s="8">
        <v>10.0</v>
      </c>
      <c r="K10" s="5"/>
      <c r="L10" s="42">
        <f>IF(J10&gt;=10,ROUNDDOWN((J10-10)/2,0),ROUNDUP((J10-10)/2,0))</f>
        <v>0</v>
      </c>
      <c r="M10" s="5"/>
      <c r="O10" s="36"/>
      <c r="Q10" s="37"/>
      <c r="R10" s="36"/>
      <c r="T10" s="37"/>
      <c r="U10" s="36"/>
      <c r="W10" s="37"/>
      <c r="X10" s="33" t="s">
        <v>42</v>
      </c>
      <c r="Y10" s="10"/>
      <c r="Z10" s="11"/>
      <c r="AA10" s="26" t="b">
        <v>0</v>
      </c>
      <c r="AB10" s="23"/>
      <c r="AC10" s="36"/>
      <c r="AE10" s="37"/>
      <c r="AF10" s="36"/>
      <c r="AH10" s="37"/>
      <c r="AI10" s="36"/>
      <c r="AK10" s="37"/>
      <c r="AL10" s="23"/>
      <c r="AM10" s="36"/>
      <c r="AO10" s="37"/>
      <c r="AP10" s="36"/>
      <c r="AR10" s="37"/>
      <c r="AS10" s="36"/>
      <c r="AU10" s="37"/>
      <c r="AV10" s="9" t="s">
        <v>43</v>
      </c>
      <c r="AW10" s="10"/>
      <c r="AX10" s="11"/>
      <c r="AY10" s="23"/>
      <c r="AZ10" s="36"/>
      <c r="BB10" s="37"/>
      <c r="BC10" s="14" t="s">
        <v>44</v>
      </c>
      <c r="BD10" s="11"/>
      <c r="BE10" s="29">
        <f>ROUNDDOWN(BD3/2,0)</f>
        <v>0</v>
      </c>
      <c r="BF10" s="23"/>
      <c r="BH10" s="40"/>
      <c r="BI10" s="10"/>
      <c r="BJ10" s="10"/>
      <c r="BK10" s="10"/>
      <c r="BL10" s="10"/>
      <c r="BM10" s="11"/>
      <c r="BN10" s="41"/>
      <c r="BO10" s="11"/>
      <c r="BP10" s="41"/>
      <c r="BQ10" s="11"/>
      <c r="BR10" s="41"/>
      <c r="BS10" s="11"/>
    </row>
    <row r="11">
      <c r="B11" s="16"/>
      <c r="C11" s="18"/>
      <c r="D11" s="16"/>
      <c r="E11" s="18"/>
      <c r="F11" s="16"/>
      <c r="G11" s="18"/>
      <c r="H11" s="16"/>
      <c r="I11" s="18"/>
      <c r="J11" s="16"/>
      <c r="K11" s="18"/>
      <c r="L11" s="16"/>
      <c r="M11" s="18"/>
      <c r="O11" s="16"/>
      <c r="P11" s="17"/>
      <c r="Q11" s="18"/>
      <c r="R11" s="16"/>
      <c r="S11" s="17"/>
      <c r="T11" s="18"/>
      <c r="U11" s="16"/>
      <c r="V11" s="17"/>
      <c r="W11" s="18"/>
      <c r="X11" s="21" t="s">
        <v>45</v>
      </c>
      <c r="Y11" s="11"/>
      <c r="Z11" s="43"/>
      <c r="AA11" s="11"/>
      <c r="AB11" s="23"/>
      <c r="AC11" s="16"/>
      <c r="AD11" s="17"/>
      <c r="AE11" s="18"/>
      <c r="AF11" s="16"/>
      <c r="AG11" s="17"/>
      <c r="AH11" s="18"/>
      <c r="AI11" s="16"/>
      <c r="AJ11" s="17"/>
      <c r="AK11" s="18"/>
      <c r="AL11" s="23"/>
      <c r="AM11" s="16"/>
      <c r="AN11" s="17"/>
      <c r="AO11" s="18"/>
      <c r="AP11" s="16"/>
      <c r="AQ11" s="17"/>
      <c r="AR11" s="18"/>
      <c r="AS11" s="16"/>
      <c r="AT11" s="17"/>
      <c r="AU11" s="18"/>
      <c r="AV11" s="44">
        <v>0.0</v>
      </c>
      <c r="AW11" s="10"/>
      <c r="AX11" s="11"/>
      <c r="AY11" s="23"/>
      <c r="AZ11" s="16"/>
      <c r="BA11" s="17"/>
      <c r="BB11" s="18"/>
      <c r="BC11" s="14" t="s">
        <v>45</v>
      </c>
      <c r="BD11" s="11"/>
      <c r="BE11" s="29"/>
      <c r="BF11" s="23"/>
      <c r="BH11" s="40"/>
      <c r="BI11" s="10"/>
      <c r="BJ11" s="10"/>
      <c r="BK11" s="10"/>
      <c r="BL11" s="10"/>
      <c r="BM11" s="11"/>
      <c r="BN11" s="41"/>
      <c r="BO11" s="11"/>
      <c r="BP11" s="41"/>
      <c r="BQ11" s="11"/>
      <c r="BR11" s="41"/>
      <c r="BS11" s="11"/>
    </row>
    <row r="12">
      <c r="B12" s="30" t="s">
        <v>46</v>
      </c>
      <c r="C12" s="10"/>
      <c r="D12" s="10"/>
      <c r="E12" s="11"/>
      <c r="F12" s="30" t="s">
        <v>47</v>
      </c>
      <c r="G12" s="10"/>
      <c r="H12" s="10"/>
      <c r="I12" s="11"/>
      <c r="J12" s="30" t="s">
        <v>48</v>
      </c>
      <c r="K12" s="10"/>
      <c r="L12" s="10"/>
      <c r="M12" s="11"/>
      <c r="O12" s="45"/>
      <c r="AZ12" s="23"/>
      <c r="BA12" s="23"/>
      <c r="BB12" s="23"/>
      <c r="BC12" s="23"/>
      <c r="BD12" s="23"/>
      <c r="BE12" s="23"/>
      <c r="BF12" s="23"/>
      <c r="BH12" s="40"/>
      <c r="BI12" s="10"/>
      <c r="BJ12" s="10"/>
      <c r="BK12" s="10"/>
      <c r="BL12" s="10"/>
      <c r="BM12" s="11"/>
      <c r="BN12" s="41"/>
      <c r="BO12" s="11"/>
      <c r="BP12" s="41"/>
      <c r="BQ12" s="11"/>
      <c r="BR12" s="41"/>
      <c r="BS12" s="11"/>
    </row>
    <row r="13">
      <c r="B13" s="35" t="s">
        <v>38</v>
      </c>
      <c r="C13" s="5"/>
      <c r="D13" s="35" t="s">
        <v>39</v>
      </c>
      <c r="E13" s="5"/>
      <c r="F13" s="35" t="s">
        <v>38</v>
      </c>
      <c r="G13" s="5"/>
      <c r="H13" s="35" t="s">
        <v>39</v>
      </c>
      <c r="I13" s="5"/>
      <c r="J13" s="35" t="s">
        <v>38</v>
      </c>
      <c r="K13" s="5"/>
      <c r="L13" s="35" t="s">
        <v>39</v>
      </c>
      <c r="M13" s="5"/>
      <c r="O13" s="46" t="s">
        <v>49</v>
      </c>
      <c r="P13" s="10"/>
      <c r="Q13" s="10"/>
      <c r="R13" s="10"/>
      <c r="S13" s="10"/>
      <c r="T13" s="10"/>
      <c r="U13" s="10"/>
      <c r="V13" s="10"/>
      <c r="W13" s="11"/>
      <c r="X13" s="47"/>
      <c r="Y13" s="21" t="s">
        <v>50</v>
      </c>
      <c r="Z13" s="10"/>
      <c r="AA13" s="10"/>
      <c r="AB13" s="10"/>
      <c r="AC13" s="10"/>
      <c r="AD13" s="10"/>
      <c r="AE13" s="10"/>
      <c r="AF13" s="10"/>
      <c r="AG13" s="10"/>
      <c r="AH13" s="10"/>
      <c r="AI13" s="10"/>
      <c r="AJ13" s="10"/>
      <c r="AK13" s="10"/>
      <c r="AL13" s="10"/>
      <c r="AM13" s="11"/>
      <c r="AN13" s="24"/>
      <c r="AO13" s="48" t="s">
        <v>51</v>
      </c>
      <c r="AP13" s="10"/>
      <c r="AQ13" s="11"/>
      <c r="AR13" s="49"/>
      <c r="AS13" s="48" t="s">
        <v>52</v>
      </c>
      <c r="AT13" s="10"/>
      <c r="AU13" s="10"/>
      <c r="AV13" s="10"/>
      <c r="AW13" s="10"/>
      <c r="AX13" s="11"/>
      <c r="AY13" s="50"/>
      <c r="AZ13" s="51" t="s">
        <v>53</v>
      </c>
      <c r="BA13" s="4"/>
      <c r="BB13" s="4"/>
      <c r="BC13" s="4"/>
      <c r="BD13" s="4"/>
      <c r="BE13" s="4"/>
      <c r="BF13" s="5"/>
      <c r="BH13" s="40"/>
      <c r="BI13" s="10"/>
      <c r="BJ13" s="10"/>
      <c r="BK13" s="10"/>
      <c r="BL13" s="10"/>
      <c r="BM13" s="11"/>
      <c r="BN13" s="41"/>
      <c r="BO13" s="11"/>
      <c r="BP13" s="41"/>
      <c r="BQ13" s="11"/>
      <c r="BR13" s="41"/>
      <c r="BS13" s="11"/>
    </row>
    <row r="14">
      <c r="B14" s="8">
        <v>10.0</v>
      </c>
      <c r="C14" s="5"/>
      <c r="D14" s="42">
        <f>IF(B14&gt;=10,ROUNDDOWN((B14-10)/2,0),ROUNDUP((B14-10)/2,0))</f>
        <v>0</v>
      </c>
      <c r="E14" s="5"/>
      <c r="F14" s="8">
        <v>10.0</v>
      </c>
      <c r="G14" s="5"/>
      <c r="H14" s="42">
        <f>IF(F14&gt;=10,ROUNDDOWN((F14-10)/2,0),ROUNDUP((F14-10)/2,0))</f>
        <v>0</v>
      </c>
      <c r="I14" s="5"/>
      <c r="J14" s="8">
        <v>10.0</v>
      </c>
      <c r="K14" s="5"/>
      <c r="L14" s="42">
        <f>IF(J14&gt;=10,ROUNDDOWN((J14-10)/2,0),ROUNDUP((J14-10)/2,0))</f>
        <v>0</v>
      </c>
      <c r="M14" s="5"/>
      <c r="O14" s="52" t="s">
        <v>54</v>
      </c>
      <c r="P14" s="10"/>
      <c r="Q14" s="11"/>
      <c r="R14" s="52" t="s">
        <v>55</v>
      </c>
      <c r="S14" s="10"/>
      <c r="T14" s="11"/>
      <c r="U14" s="52" t="s">
        <v>56</v>
      </c>
      <c r="V14" s="10"/>
      <c r="W14" s="11"/>
      <c r="Y14" s="53" t="s">
        <v>57</v>
      </c>
      <c r="Z14" s="10"/>
      <c r="AA14" s="11"/>
      <c r="AB14" s="53" t="s">
        <v>58</v>
      </c>
      <c r="AC14" s="10"/>
      <c r="AD14" s="11"/>
      <c r="AE14" s="53" t="s">
        <v>59</v>
      </c>
      <c r="AF14" s="10"/>
      <c r="AG14" s="11"/>
      <c r="AH14" s="53" t="s">
        <v>60</v>
      </c>
      <c r="AI14" s="10"/>
      <c r="AJ14" s="11"/>
      <c r="AK14" s="53" t="s">
        <v>61</v>
      </c>
      <c r="AL14" s="10"/>
      <c r="AM14" s="11"/>
      <c r="AO14" s="54">
        <v>9.0</v>
      </c>
      <c r="AP14" s="4"/>
      <c r="AQ14" s="5"/>
      <c r="AS14" s="55" t="s">
        <v>27</v>
      </c>
      <c r="AT14" s="10"/>
      <c r="AU14" s="11"/>
      <c r="AV14" s="55" t="s">
        <v>28</v>
      </c>
      <c r="AW14" s="11"/>
      <c r="AX14" s="56">
        <v>10.0</v>
      </c>
      <c r="AZ14" s="16"/>
      <c r="BA14" s="17"/>
      <c r="BB14" s="17"/>
      <c r="BC14" s="17"/>
      <c r="BD14" s="17"/>
      <c r="BE14" s="17"/>
      <c r="BF14" s="18"/>
      <c r="BH14" s="40"/>
      <c r="BI14" s="10"/>
      <c r="BJ14" s="10"/>
      <c r="BK14" s="10"/>
      <c r="BL14" s="10"/>
      <c r="BM14" s="11"/>
      <c r="BN14" s="41"/>
      <c r="BO14" s="11"/>
      <c r="BP14" s="41"/>
      <c r="BQ14" s="11"/>
      <c r="BR14" s="41"/>
      <c r="BS14" s="11"/>
    </row>
    <row r="15">
      <c r="B15" s="16"/>
      <c r="C15" s="18"/>
      <c r="D15" s="16"/>
      <c r="E15" s="18"/>
      <c r="F15" s="16"/>
      <c r="G15" s="18"/>
      <c r="H15" s="16"/>
      <c r="I15" s="18"/>
      <c r="J15" s="16"/>
      <c r="K15" s="18"/>
      <c r="L15" s="16"/>
      <c r="M15" s="18"/>
      <c r="O15" s="57">
        <f>P18+ROUNDDOWN(BD3/2,0)+ROUNDDOWN(IF(O20="FOR",For,Des)+IF(O18,BT,0),0)</f>
        <v>0</v>
      </c>
      <c r="P15" s="4"/>
      <c r="Q15" s="5"/>
      <c r="R15" s="57">
        <f>S18+ROUNDDOWN(BD3/2,0)+ROUNDDOWN(IF(R20="FOR",For,Des)+IF(R18,BT,0),0)</f>
        <v>0</v>
      </c>
      <c r="S15" s="4"/>
      <c r="T15" s="5"/>
      <c r="U15" s="57">
        <f>V18+ROUNDDOWN(BD3/2,0)+ROUNDDOWN(IFS(U20="FOR",For, U20="DES",Des, U20="Int",Int, U20="SAB",Sab, U20="Con", Con, U20="PRE", Pre)+IF(U18,BT,0),0)</f>
        <v>0</v>
      </c>
      <c r="V15" s="4"/>
      <c r="W15" s="5"/>
      <c r="Y15" s="58">
        <f>AA18+ROUNDDOWN(BD3/2,0)+ROUNDDOWN(IF(Z18,Int+BT*1.5,IF(Y18,Int+BT,Int)),0)</f>
        <v>0</v>
      </c>
      <c r="Z15" s="4"/>
      <c r="AA15" s="5"/>
      <c r="AB15" s="58">
        <f>AD18+ROUNDDOWN(BD3/2,0)+ROUNDDOWN(IF(AC18,Con+BT*1.5,IF(AB18,Con+BT,Con)),0)+IF(Treinamentos!AS19 = TRUE, +2, +0)+IF(AA8 = TRUE, +2, +0)</f>
        <v>0</v>
      </c>
      <c r="AC15" s="4"/>
      <c r="AD15" s="5"/>
      <c r="AE15" s="58">
        <f>AG18+ROUNDDOWN(BD3/2,0)+ROUNDDOWN(IF(AF18,Con+BT*1.5,IF(AE18,Con+BT,Con)),0)</f>
        <v>0</v>
      </c>
      <c r="AF15" s="4"/>
      <c r="AG15" s="5"/>
      <c r="AH15" s="58">
        <f>AJ18+ROUNDDOWN(BD3/2,0)+ROUNDDOWN(IF(AI18,Des+BT*1.5,IF(AH18,Des+BT,Des)),0)+IF(Treinamentos!I8 = TRUE, +2, +0)</f>
        <v>0</v>
      </c>
      <c r="AI15" s="4"/>
      <c r="AJ15" s="5"/>
      <c r="AK15" s="58">
        <f>AM18+ROUNDDOWN(BD3/2,0)+ROUNDDOWN(IF(AL18,Sab+BT*1.5,IF(AK18,Sab+BT,Sab)),0)</f>
        <v>0</v>
      </c>
      <c r="AL15" s="4"/>
      <c r="AM15" s="5"/>
      <c r="AO15" s="36"/>
      <c r="AQ15" s="37"/>
      <c r="AS15" s="34">
        <f>AX14+SWITCH(AX15, "F", For, "D", Des, "C", Con, "I", Int, "S", Sab, "P", Pre, 0)+AX16+AX17+AX18</f>
        <v>12</v>
      </c>
      <c r="AT15" s="4"/>
      <c r="AU15" s="5"/>
      <c r="AV15" s="55" t="s">
        <v>62</v>
      </c>
      <c r="AW15" s="11"/>
      <c r="AX15" s="56" t="s">
        <v>63</v>
      </c>
      <c r="AZ15" s="59" t="s">
        <v>64</v>
      </c>
      <c r="BA15" s="17"/>
      <c r="BB15" s="17"/>
      <c r="BC15" s="17"/>
      <c r="BD15" s="60" t="b">
        <v>0</v>
      </c>
      <c r="BE15" s="61" t="b">
        <v>0</v>
      </c>
      <c r="BF15" s="62" t="b">
        <v>0</v>
      </c>
      <c r="BH15" s="40"/>
      <c r="BI15" s="10"/>
      <c r="BJ15" s="10"/>
      <c r="BK15" s="10"/>
      <c r="BL15" s="10"/>
      <c r="BM15" s="11"/>
      <c r="BN15" s="41"/>
      <c r="BO15" s="11"/>
      <c r="BP15" s="41"/>
      <c r="BQ15" s="11"/>
      <c r="BR15" s="41"/>
      <c r="BS15" s="11"/>
    </row>
    <row r="16">
      <c r="B16" s="2"/>
      <c r="O16" s="16"/>
      <c r="P16" s="17"/>
      <c r="Q16" s="18"/>
      <c r="R16" s="16"/>
      <c r="S16" s="17"/>
      <c r="T16" s="18"/>
      <c r="U16" s="16"/>
      <c r="V16" s="17"/>
      <c r="W16" s="18"/>
      <c r="Y16" s="16"/>
      <c r="Z16" s="17"/>
      <c r="AA16" s="18"/>
      <c r="AB16" s="16"/>
      <c r="AC16" s="17"/>
      <c r="AD16" s="18"/>
      <c r="AE16" s="16"/>
      <c r="AF16" s="17"/>
      <c r="AG16" s="18"/>
      <c r="AH16" s="16"/>
      <c r="AI16" s="17"/>
      <c r="AJ16" s="18"/>
      <c r="AK16" s="16"/>
      <c r="AL16" s="17"/>
      <c r="AM16" s="18"/>
      <c r="AO16" s="36"/>
      <c r="AQ16" s="37"/>
      <c r="AS16" s="36"/>
      <c r="AU16" s="37"/>
      <c r="AV16" s="55" t="s">
        <v>65</v>
      </c>
      <c r="AW16" s="11"/>
      <c r="AX16" s="63">
        <f>BH3</f>
        <v>2</v>
      </c>
      <c r="AY16" s="64"/>
      <c r="AZ16" s="59" t="s">
        <v>66</v>
      </c>
      <c r="BA16" s="17"/>
      <c r="BB16" s="17"/>
      <c r="BC16" s="17"/>
      <c r="BD16" s="61" t="b">
        <v>0</v>
      </c>
      <c r="BE16" s="61" t="b">
        <v>0</v>
      </c>
      <c r="BF16" s="62" t="b">
        <v>0</v>
      </c>
      <c r="BH16" s="40"/>
      <c r="BI16" s="10"/>
      <c r="BJ16" s="10"/>
      <c r="BK16" s="10"/>
      <c r="BL16" s="10"/>
      <c r="BM16" s="11"/>
      <c r="BN16" s="41"/>
      <c r="BO16" s="11"/>
      <c r="BP16" s="41"/>
      <c r="BQ16" s="11"/>
      <c r="BR16" s="41"/>
      <c r="BS16" s="11"/>
    </row>
    <row r="17">
      <c r="B17" s="13" t="s">
        <v>67</v>
      </c>
      <c r="C17" s="10"/>
      <c r="D17" s="10"/>
      <c r="E17" s="10"/>
      <c r="F17" s="10"/>
      <c r="G17" s="11"/>
      <c r="H17" s="13" t="s">
        <v>68</v>
      </c>
      <c r="I17" s="10"/>
      <c r="J17" s="10"/>
      <c r="K17" s="10"/>
      <c r="L17" s="10"/>
      <c r="M17" s="11"/>
      <c r="O17" s="65" t="s">
        <v>69</v>
      </c>
      <c r="P17" s="46" t="s">
        <v>45</v>
      </c>
      <c r="Q17" s="11"/>
      <c r="R17" s="65" t="s">
        <v>69</v>
      </c>
      <c r="S17" s="46" t="s">
        <v>45</v>
      </c>
      <c r="T17" s="11"/>
      <c r="U17" s="65" t="s">
        <v>69</v>
      </c>
      <c r="V17" s="46" t="s">
        <v>45</v>
      </c>
      <c r="W17" s="11"/>
      <c r="Y17" s="66" t="s">
        <v>69</v>
      </c>
      <c r="Z17" s="66" t="s">
        <v>70</v>
      </c>
      <c r="AA17" s="66" t="s">
        <v>71</v>
      </c>
      <c r="AB17" s="66" t="s">
        <v>69</v>
      </c>
      <c r="AC17" s="66" t="s">
        <v>70</v>
      </c>
      <c r="AD17" s="66" t="s">
        <v>71</v>
      </c>
      <c r="AE17" s="66" t="s">
        <v>69</v>
      </c>
      <c r="AF17" s="66" t="s">
        <v>70</v>
      </c>
      <c r="AG17" s="66" t="s">
        <v>71</v>
      </c>
      <c r="AH17" s="66" t="s">
        <v>69</v>
      </c>
      <c r="AI17" s="66" t="s">
        <v>70</v>
      </c>
      <c r="AJ17" s="66" t="s">
        <v>71</v>
      </c>
      <c r="AK17" s="66" t="s">
        <v>69</v>
      </c>
      <c r="AL17" s="66" t="s">
        <v>70</v>
      </c>
      <c r="AM17" s="66" t="s">
        <v>71</v>
      </c>
      <c r="AO17" s="16"/>
      <c r="AP17" s="17"/>
      <c r="AQ17" s="18"/>
      <c r="AS17" s="36"/>
      <c r="AU17" s="37"/>
      <c r="AV17" s="55" t="s">
        <v>44</v>
      </c>
      <c r="AW17" s="11"/>
      <c r="AX17" s="67">
        <f>ROUNDDOWN(BD3/2,0)</f>
        <v>0</v>
      </c>
      <c r="AY17" s="50"/>
      <c r="AZ17" s="23"/>
      <c r="BA17" s="23"/>
      <c r="BB17" s="23"/>
      <c r="BC17" s="23"/>
      <c r="BD17" s="23"/>
      <c r="BE17" s="23"/>
      <c r="BF17" s="23"/>
      <c r="BH17" s="40"/>
      <c r="BI17" s="10"/>
      <c r="BJ17" s="10"/>
      <c r="BK17" s="10"/>
      <c r="BL17" s="10"/>
      <c r="BM17" s="11"/>
      <c r="BN17" s="41"/>
      <c r="BO17" s="11"/>
      <c r="BP17" s="41"/>
      <c r="BQ17" s="11"/>
      <c r="BR17" s="41"/>
      <c r="BS17" s="11"/>
    </row>
    <row r="18">
      <c r="B18" s="28" t="s">
        <v>27</v>
      </c>
      <c r="C18" s="10"/>
      <c r="D18" s="11"/>
      <c r="E18" s="14" t="s">
        <v>28</v>
      </c>
      <c r="F18" s="11"/>
      <c r="G18" s="29">
        <v>10.0</v>
      </c>
      <c r="H18" s="28" t="s">
        <v>27</v>
      </c>
      <c r="I18" s="10"/>
      <c r="J18" s="11"/>
      <c r="K18" s="14"/>
      <c r="L18" s="10"/>
      <c r="M18" s="11"/>
      <c r="O18" s="68" t="b">
        <v>0</v>
      </c>
      <c r="P18" s="69"/>
      <c r="Q18" s="11"/>
      <c r="R18" s="68" t="b">
        <v>0</v>
      </c>
      <c r="S18" s="69"/>
      <c r="T18" s="11"/>
      <c r="U18" s="68" t="b">
        <v>0</v>
      </c>
      <c r="V18" s="69"/>
      <c r="W18" s="11"/>
      <c r="Y18" s="70" t="b">
        <v>0</v>
      </c>
      <c r="Z18" s="70" t="b">
        <v>0</v>
      </c>
      <c r="AA18" s="71"/>
      <c r="AB18" s="70" t="b">
        <v>0</v>
      </c>
      <c r="AC18" s="70" t="b">
        <v>0</v>
      </c>
      <c r="AD18" s="71"/>
      <c r="AE18" s="70" t="b">
        <v>0</v>
      </c>
      <c r="AF18" s="70" t="b">
        <v>0</v>
      </c>
      <c r="AG18" s="71"/>
      <c r="AH18" s="70" t="b">
        <v>0</v>
      </c>
      <c r="AI18" s="70" t="b">
        <v>0</v>
      </c>
      <c r="AJ18" s="71"/>
      <c r="AK18" s="70" t="b">
        <v>0</v>
      </c>
      <c r="AL18" s="70" t="b">
        <v>0</v>
      </c>
      <c r="AM18" s="71"/>
      <c r="AO18" s="72"/>
      <c r="AS18" s="16"/>
      <c r="AT18" s="17"/>
      <c r="AU18" s="18"/>
      <c r="AV18" s="55" t="s">
        <v>45</v>
      </c>
      <c r="AW18" s="11"/>
      <c r="AX18" s="67"/>
      <c r="AZ18" s="51" t="s">
        <v>72</v>
      </c>
      <c r="BA18" s="4"/>
      <c r="BB18" s="4"/>
      <c r="BC18" s="4"/>
      <c r="BD18" s="4"/>
      <c r="BE18" s="4"/>
      <c r="BF18" s="5"/>
      <c r="BH18" s="40"/>
      <c r="BI18" s="10"/>
      <c r="BJ18" s="10"/>
      <c r="BK18" s="10"/>
      <c r="BL18" s="10"/>
      <c r="BM18" s="11"/>
      <c r="BN18" s="41"/>
      <c r="BO18" s="11"/>
      <c r="BP18" s="41"/>
      <c r="BQ18" s="11"/>
      <c r="BR18" s="41"/>
      <c r="BS18" s="11"/>
    </row>
    <row r="19">
      <c r="B19" s="32">
        <f>G18+G19+G20</f>
        <v>10</v>
      </c>
      <c r="C19" s="4"/>
      <c r="D19" s="5"/>
      <c r="E19" s="14" t="s">
        <v>73</v>
      </c>
      <c r="F19" s="11"/>
      <c r="G19" s="39">
        <f>X30</f>
        <v>0</v>
      </c>
      <c r="H19" s="73">
        <f>M19+M20+IF(Treinamentos!I7 = TRUE, +2, +0)</f>
        <v>0</v>
      </c>
      <c r="I19" s="4"/>
      <c r="J19" s="5"/>
      <c r="K19" s="14" t="s">
        <v>41</v>
      </c>
      <c r="L19" s="11"/>
      <c r="M19" s="39">
        <f>Des</f>
        <v>0</v>
      </c>
      <c r="O19" s="46" t="s">
        <v>62</v>
      </c>
      <c r="P19" s="10"/>
      <c r="Q19" s="11"/>
      <c r="R19" s="46" t="s">
        <v>62</v>
      </c>
      <c r="S19" s="10"/>
      <c r="T19" s="11"/>
      <c r="U19" s="46" t="s">
        <v>62</v>
      </c>
      <c r="V19" s="10"/>
      <c r="W19" s="11"/>
      <c r="X19" s="24"/>
      <c r="Y19" s="24"/>
      <c r="Z19" s="24"/>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16"/>
      <c r="BA19" s="17"/>
      <c r="BB19" s="17"/>
      <c r="BC19" s="17"/>
      <c r="BD19" s="17"/>
      <c r="BE19" s="17"/>
      <c r="BF19" s="18"/>
      <c r="BH19" s="40"/>
      <c r="BI19" s="10"/>
      <c r="BJ19" s="10"/>
      <c r="BK19" s="10"/>
      <c r="BL19" s="10"/>
      <c r="BM19" s="11"/>
      <c r="BN19" s="41"/>
      <c r="BO19" s="11"/>
      <c r="BP19" s="41"/>
      <c r="BQ19" s="11"/>
      <c r="BR19" s="41"/>
      <c r="BS19" s="11"/>
    </row>
    <row r="20">
      <c r="B20" s="16"/>
      <c r="C20" s="17"/>
      <c r="D20" s="18"/>
      <c r="E20" s="14" t="s">
        <v>45</v>
      </c>
      <c r="F20" s="11"/>
      <c r="G20" s="29"/>
      <c r="H20" s="16"/>
      <c r="I20" s="17"/>
      <c r="J20" s="18"/>
      <c r="K20" s="14" t="s">
        <v>45</v>
      </c>
      <c r="L20" s="11"/>
      <c r="M20" s="29"/>
      <c r="O20" s="74" t="s">
        <v>74</v>
      </c>
      <c r="P20" s="10"/>
      <c r="Q20" s="11"/>
      <c r="R20" s="74" t="s">
        <v>75</v>
      </c>
      <c r="S20" s="10"/>
      <c r="T20" s="11"/>
      <c r="U20" s="74" t="s">
        <v>74</v>
      </c>
      <c r="V20" s="10"/>
      <c r="W20" s="11"/>
      <c r="X20" s="24"/>
      <c r="Y20" s="24"/>
      <c r="Z20" s="24"/>
      <c r="AA20" s="75" t="s">
        <v>76</v>
      </c>
      <c r="AB20" s="4"/>
      <c r="AC20" s="4"/>
      <c r="AD20" s="4"/>
      <c r="AE20" s="4"/>
      <c r="AF20" s="4"/>
      <c r="AG20" s="4"/>
      <c r="AH20" s="4"/>
      <c r="AI20" s="4"/>
      <c r="AJ20" s="4"/>
      <c r="AK20" s="4"/>
      <c r="AL20" s="5"/>
      <c r="AM20" s="24"/>
      <c r="AN20" s="48" t="s">
        <v>77</v>
      </c>
      <c r="AO20" s="10"/>
      <c r="AP20" s="10"/>
      <c r="AQ20" s="10"/>
      <c r="AR20" s="10"/>
      <c r="AS20" s="2"/>
      <c r="AT20" s="76" t="s">
        <v>78</v>
      </c>
      <c r="AU20" s="4"/>
      <c r="AV20" s="4"/>
      <c r="AW20" s="4"/>
      <c r="AX20" s="5"/>
      <c r="AY20" s="24"/>
      <c r="AZ20" s="13" t="s">
        <v>79</v>
      </c>
      <c r="BA20" s="11"/>
      <c r="BB20" s="13" t="s">
        <v>80</v>
      </c>
      <c r="BC20" s="11"/>
      <c r="BD20" s="30" t="s">
        <v>81</v>
      </c>
      <c r="BE20" s="10"/>
      <c r="BF20" s="11"/>
      <c r="BH20" s="40"/>
      <c r="BI20" s="10"/>
      <c r="BJ20" s="10"/>
      <c r="BK20" s="10"/>
      <c r="BL20" s="10"/>
      <c r="BM20" s="11"/>
      <c r="BN20" s="41"/>
      <c r="BO20" s="11"/>
      <c r="BP20" s="41"/>
      <c r="BQ20" s="11"/>
      <c r="BR20" s="41"/>
      <c r="BS20" s="11"/>
    </row>
    <row r="21">
      <c r="B21" s="24"/>
      <c r="O21" s="24"/>
      <c r="P21" s="24"/>
      <c r="Q21" s="24"/>
      <c r="R21" s="24"/>
      <c r="S21" s="24"/>
      <c r="T21" s="24"/>
      <c r="U21" s="24"/>
      <c r="V21" s="24"/>
      <c r="W21" s="24"/>
      <c r="X21" s="24"/>
      <c r="Y21" s="24"/>
      <c r="Z21" s="24"/>
      <c r="AA21" s="77" t="s">
        <v>82</v>
      </c>
      <c r="AB21" s="77" t="s">
        <v>83</v>
      </c>
      <c r="AC21" s="77" t="s">
        <v>84</v>
      </c>
      <c r="AD21" s="77" t="s">
        <v>85</v>
      </c>
      <c r="AE21" s="77" t="s">
        <v>86</v>
      </c>
      <c r="AF21" s="77" t="s">
        <v>87</v>
      </c>
      <c r="AG21" s="77" t="s">
        <v>88</v>
      </c>
      <c r="AH21" s="77" t="s">
        <v>89</v>
      </c>
      <c r="AI21" s="77" t="s">
        <v>90</v>
      </c>
      <c r="AJ21" s="77" t="s">
        <v>91</v>
      </c>
      <c r="AK21" s="77" t="s">
        <v>92</v>
      </c>
      <c r="AL21" s="77" t="s">
        <v>93</v>
      </c>
      <c r="AN21" s="78"/>
      <c r="AO21" s="4"/>
      <c r="AP21" s="4"/>
      <c r="AQ21" s="4"/>
      <c r="AR21" s="5"/>
      <c r="AS21" s="2"/>
      <c r="AT21" s="79"/>
      <c r="AU21" s="4"/>
      <c r="AV21" s="4"/>
      <c r="AW21" s="4"/>
      <c r="AX21" s="5"/>
      <c r="AZ21" s="13" t="s">
        <v>94</v>
      </c>
      <c r="BA21" s="11"/>
      <c r="BB21" s="41"/>
      <c r="BC21" s="11"/>
      <c r="BD21" s="41"/>
      <c r="BE21" s="10"/>
      <c r="BF21" s="11"/>
      <c r="BH21" s="40"/>
      <c r="BI21" s="10"/>
      <c r="BJ21" s="10"/>
      <c r="BK21" s="10"/>
      <c r="BL21" s="10"/>
      <c r="BM21" s="11"/>
      <c r="BN21" s="41"/>
      <c r="BO21" s="11"/>
      <c r="BP21" s="41"/>
      <c r="BQ21" s="11"/>
      <c r="BR21" s="41"/>
      <c r="BS21" s="11"/>
    </row>
    <row r="22">
      <c r="B22" s="22" t="s">
        <v>95</v>
      </c>
      <c r="C22" s="4"/>
      <c r="D22" s="4"/>
      <c r="E22" s="4"/>
      <c r="F22" s="4"/>
      <c r="G22" s="4"/>
      <c r="H22" s="4"/>
      <c r="I22" s="4"/>
      <c r="J22" s="4"/>
      <c r="K22" s="4"/>
      <c r="L22" s="4"/>
      <c r="M22" s="4"/>
      <c r="N22" s="4"/>
      <c r="O22" s="4"/>
      <c r="P22" s="4"/>
      <c r="Q22" s="4"/>
      <c r="R22" s="4"/>
      <c r="S22" s="4"/>
      <c r="T22" s="4"/>
      <c r="U22" s="4"/>
      <c r="V22" s="4"/>
      <c r="W22" s="4"/>
      <c r="X22" s="4"/>
      <c r="Y22" s="5"/>
      <c r="Z22" s="2"/>
      <c r="AA22" s="80"/>
      <c r="AB22" s="80"/>
      <c r="AC22" s="80"/>
      <c r="AD22" s="80"/>
      <c r="AE22" s="80"/>
      <c r="AF22" s="80"/>
      <c r="AG22" s="80"/>
      <c r="AH22" s="80"/>
      <c r="AI22" s="80"/>
      <c r="AJ22" s="80"/>
      <c r="AK22" s="80"/>
      <c r="AL22" s="80"/>
      <c r="AN22" s="36"/>
      <c r="AR22" s="37"/>
      <c r="AS22" s="2"/>
      <c r="AT22" s="36"/>
      <c r="AX22" s="37"/>
      <c r="AZ22" s="13" t="s">
        <v>96</v>
      </c>
      <c r="BA22" s="11"/>
      <c r="BB22" s="41"/>
      <c r="BC22" s="11"/>
      <c r="BD22" s="41"/>
      <c r="BE22" s="10"/>
      <c r="BF22" s="11"/>
      <c r="BH22" s="40"/>
      <c r="BI22" s="10"/>
      <c r="BJ22" s="10"/>
      <c r="BK22" s="10"/>
      <c r="BL22" s="10"/>
      <c r="BM22" s="11"/>
      <c r="BN22" s="41"/>
      <c r="BO22" s="11"/>
      <c r="BP22" s="41"/>
      <c r="BQ22" s="11"/>
      <c r="BR22" s="41"/>
      <c r="BS22" s="11"/>
    </row>
    <row r="23">
      <c r="B23" s="16"/>
      <c r="C23" s="17"/>
      <c r="D23" s="17"/>
      <c r="E23" s="17"/>
      <c r="F23" s="17"/>
      <c r="G23" s="17"/>
      <c r="H23" s="17"/>
      <c r="I23" s="17"/>
      <c r="J23" s="17"/>
      <c r="K23" s="17"/>
      <c r="L23" s="17"/>
      <c r="M23" s="17"/>
      <c r="N23" s="17"/>
      <c r="O23" s="17"/>
      <c r="P23" s="17"/>
      <c r="Q23" s="17"/>
      <c r="R23" s="17"/>
      <c r="S23" s="17"/>
      <c r="T23" s="17"/>
      <c r="U23" s="17"/>
      <c r="V23" s="17"/>
      <c r="W23" s="17"/>
      <c r="X23" s="17"/>
      <c r="Y23" s="18"/>
      <c r="AA23" s="81"/>
      <c r="AB23" s="81"/>
      <c r="AC23" s="81"/>
      <c r="AD23" s="81"/>
      <c r="AE23" s="81"/>
      <c r="AF23" s="81"/>
      <c r="AG23" s="81"/>
      <c r="AH23" s="81"/>
      <c r="AI23" s="81"/>
      <c r="AJ23" s="81"/>
      <c r="AK23" s="81"/>
      <c r="AL23" s="81"/>
      <c r="AM23" s="24"/>
      <c r="AN23" s="16"/>
      <c r="AO23" s="17"/>
      <c r="AP23" s="17"/>
      <c r="AQ23" s="17"/>
      <c r="AR23" s="18"/>
      <c r="AS23" s="24"/>
      <c r="AT23" s="16"/>
      <c r="AU23" s="17"/>
      <c r="AV23" s="17"/>
      <c r="AW23" s="17"/>
      <c r="AX23" s="18"/>
      <c r="AY23" s="50"/>
      <c r="AZ23" s="13" t="s">
        <v>97</v>
      </c>
      <c r="BA23" s="11"/>
      <c r="BB23" s="41"/>
      <c r="BC23" s="11"/>
      <c r="BD23" s="41"/>
      <c r="BE23" s="10"/>
      <c r="BF23" s="11"/>
      <c r="BH23" s="40"/>
      <c r="BI23" s="10"/>
      <c r="BJ23" s="10"/>
      <c r="BK23" s="10"/>
      <c r="BL23" s="10"/>
      <c r="BM23" s="11"/>
      <c r="BN23" s="41"/>
      <c r="BO23" s="11"/>
      <c r="BP23" s="41"/>
      <c r="BQ23" s="11"/>
      <c r="BR23" s="41"/>
      <c r="BS23" s="11"/>
    </row>
    <row r="24">
      <c r="B24" s="82" t="s">
        <v>98</v>
      </c>
      <c r="C24" s="10"/>
      <c r="D24" s="10"/>
      <c r="E24" s="11"/>
      <c r="F24" s="28" t="s">
        <v>62</v>
      </c>
      <c r="G24" s="11"/>
      <c r="H24" s="28" t="s">
        <v>45</v>
      </c>
      <c r="I24" s="11"/>
      <c r="J24" s="83" t="s">
        <v>69</v>
      </c>
      <c r="K24" s="83" t="s">
        <v>70</v>
      </c>
      <c r="L24" s="28" t="s">
        <v>27</v>
      </c>
      <c r="M24" s="11"/>
      <c r="N24" s="82" t="s">
        <v>98</v>
      </c>
      <c r="O24" s="10"/>
      <c r="P24" s="10"/>
      <c r="Q24" s="11"/>
      <c r="R24" s="28" t="s">
        <v>62</v>
      </c>
      <c r="S24" s="11"/>
      <c r="T24" s="28" t="s">
        <v>45</v>
      </c>
      <c r="U24" s="11"/>
      <c r="V24" s="83" t="s">
        <v>69</v>
      </c>
      <c r="W24" s="83" t="s">
        <v>70</v>
      </c>
      <c r="X24" s="28" t="s">
        <v>27</v>
      </c>
      <c r="Y24" s="11"/>
      <c r="AA24" s="24"/>
      <c r="AZ24" s="23"/>
      <c r="BA24" s="23"/>
      <c r="BB24" s="23"/>
      <c r="BC24" s="23"/>
      <c r="BD24" s="23"/>
      <c r="BE24" s="23"/>
      <c r="BF24" s="23"/>
      <c r="BH24" s="40"/>
      <c r="BI24" s="10"/>
      <c r="BJ24" s="10"/>
      <c r="BK24" s="10"/>
      <c r="BL24" s="10"/>
      <c r="BM24" s="11"/>
      <c r="BN24" s="41"/>
      <c r="BO24" s="11"/>
      <c r="BP24" s="41"/>
      <c r="BQ24" s="11"/>
      <c r="BR24" s="41"/>
      <c r="BS24" s="11"/>
    </row>
    <row r="25">
      <c r="B25" s="84" t="s">
        <v>99</v>
      </c>
      <c r="C25" s="10"/>
      <c r="D25" s="10"/>
      <c r="E25" s="11"/>
      <c r="F25" s="84" t="s">
        <v>74</v>
      </c>
      <c r="G25" s="11"/>
      <c r="H25" s="85"/>
      <c r="I25" s="11"/>
      <c r="J25" s="86" t="b">
        <v>0</v>
      </c>
      <c r="K25" s="86" t="b">
        <v>0</v>
      </c>
      <c r="L25" s="87">
        <f>H25+ROUNDDOWN(BD3/2,0)+ROUNDDOWN(IF(K25,For+BT*1.5,IF(J25,For+BT,For)),0)</f>
        <v>0</v>
      </c>
      <c r="M25" s="11"/>
      <c r="N25" s="84" t="s">
        <v>100</v>
      </c>
      <c r="O25" s="10"/>
      <c r="P25" s="10"/>
      <c r="Q25" s="11"/>
      <c r="R25" s="84" t="s">
        <v>101</v>
      </c>
      <c r="S25" s="11"/>
      <c r="T25" s="85"/>
      <c r="U25" s="11"/>
      <c r="V25" s="86" t="b">
        <v>0</v>
      </c>
      <c r="W25" s="86" t="b">
        <v>0</v>
      </c>
      <c r="X25" s="87">
        <f>T25+ROUNDDOWN(BD3/2,0)+ROUNDDOWN(IF(W25,Int+BT*1.5,IF(V25,Int+BT,Int)),0)</f>
        <v>0</v>
      </c>
      <c r="Y25" s="11"/>
      <c r="AA25" s="13" t="s">
        <v>102</v>
      </c>
      <c r="AB25" s="10"/>
      <c r="AC25" s="10"/>
      <c r="AD25" s="10"/>
      <c r="AE25" s="10"/>
      <c r="AF25" s="10"/>
      <c r="AG25" s="10"/>
      <c r="AH25" s="10"/>
      <c r="AI25" s="10"/>
      <c r="AJ25" s="10"/>
      <c r="AK25" s="10"/>
      <c r="AL25" s="10"/>
      <c r="AM25" s="10"/>
      <c r="AN25" s="10"/>
      <c r="AO25" s="10"/>
      <c r="AP25" s="10"/>
      <c r="AQ25" s="10"/>
      <c r="AR25" s="10"/>
      <c r="AS25" s="10"/>
      <c r="AT25" s="10"/>
      <c r="AU25" s="10"/>
      <c r="AV25" s="10"/>
      <c r="AW25" s="10"/>
      <c r="AX25" s="11"/>
      <c r="AZ25" s="88" t="s">
        <v>103</v>
      </c>
      <c r="BF25" s="37"/>
      <c r="BH25" s="40"/>
      <c r="BI25" s="10"/>
      <c r="BJ25" s="10"/>
      <c r="BK25" s="10"/>
      <c r="BL25" s="10"/>
      <c r="BM25" s="11"/>
      <c r="BN25" s="41"/>
      <c r="BO25" s="11"/>
      <c r="BP25" s="41"/>
      <c r="BQ25" s="11"/>
      <c r="BR25" s="41"/>
      <c r="BS25" s="11"/>
    </row>
    <row r="26">
      <c r="B26" s="84" t="s">
        <v>104</v>
      </c>
      <c r="C26" s="10"/>
      <c r="D26" s="10"/>
      <c r="E26" s="11"/>
      <c r="F26" s="84" t="s">
        <v>75</v>
      </c>
      <c r="G26" s="11"/>
      <c r="H26" s="85"/>
      <c r="I26" s="11"/>
      <c r="J26" s="86" t="b">
        <v>0</v>
      </c>
      <c r="K26" s="86" t="b">
        <v>0</v>
      </c>
      <c r="L26" s="87">
        <f>H26+ROUNDDOWN(BD3/2,0)+ROUNDDOWN(IF(K26,Des+BT*1.5,IF(J26,Des+BT,Des)),0)+IF(Treinamentos!I6 = TRUE, +2, +0)</f>
        <v>0</v>
      </c>
      <c r="M26" s="11"/>
      <c r="N26" s="84" t="s">
        <v>105</v>
      </c>
      <c r="O26" s="10"/>
      <c r="P26" s="10"/>
      <c r="Q26" s="11"/>
      <c r="R26" s="84" t="s">
        <v>106</v>
      </c>
      <c r="S26" s="11"/>
      <c r="T26" s="85"/>
      <c r="U26" s="11"/>
      <c r="V26" s="86" t="b">
        <v>0</v>
      </c>
      <c r="W26" s="86" t="b">
        <v>0</v>
      </c>
      <c r="X26" s="87">
        <f>T26+ROUNDDOWN(BD3/2,0)+ROUNDDOWN(IF(W26,Sab+BT*1.5,IF(V26,Sab+BT,Sab)),0)</f>
        <v>0</v>
      </c>
      <c r="Y26" s="11"/>
      <c r="AA26" s="14" t="s">
        <v>107</v>
      </c>
      <c r="AB26" s="10"/>
      <c r="AC26" s="10"/>
      <c r="AD26" s="10"/>
      <c r="AE26" s="11"/>
      <c r="AF26" s="14" t="s">
        <v>108</v>
      </c>
      <c r="AG26" s="11"/>
      <c r="AH26" s="14" t="s">
        <v>109</v>
      </c>
      <c r="AI26" s="10"/>
      <c r="AJ26" s="10"/>
      <c r="AK26" s="11"/>
      <c r="AL26" s="14" t="s">
        <v>110</v>
      </c>
      <c r="AM26" s="11"/>
      <c r="AN26" s="14" t="s">
        <v>111</v>
      </c>
      <c r="AO26" s="10"/>
      <c r="AP26" s="11"/>
      <c r="AQ26" s="14" t="s">
        <v>112</v>
      </c>
      <c r="AR26" s="10"/>
      <c r="AS26" s="11"/>
      <c r="AT26" s="14" t="s">
        <v>113</v>
      </c>
      <c r="AU26" s="10"/>
      <c r="AV26" s="10"/>
      <c r="AW26" s="10"/>
      <c r="AX26" s="11"/>
      <c r="AZ26" s="16"/>
      <c r="BA26" s="17"/>
      <c r="BB26" s="17"/>
      <c r="BC26" s="17"/>
      <c r="BD26" s="17"/>
      <c r="BE26" s="17"/>
      <c r="BF26" s="18"/>
      <c r="BH26" s="40"/>
      <c r="BI26" s="10"/>
      <c r="BJ26" s="10"/>
      <c r="BK26" s="10"/>
      <c r="BL26" s="10"/>
      <c r="BM26" s="11"/>
      <c r="BN26" s="41"/>
      <c r="BO26" s="11"/>
      <c r="BP26" s="41"/>
      <c r="BQ26" s="11"/>
      <c r="BR26" s="41"/>
      <c r="BS26" s="11"/>
    </row>
    <row r="27">
      <c r="B27" s="84" t="s">
        <v>114</v>
      </c>
      <c r="C27" s="10"/>
      <c r="D27" s="10"/>
      <c r="E27" s="11"/>
      <c r="F27" s="84" t="s">
        <v>75</v>
      </c>
      <c r="G27" s="11"/>
      <c r="H27" s="85"/>
      <c r="I27" s="11"/>
      <c r="J27" s="86" t="b">
        <v>0</v>
      </c>
      <c r="K27" s="86" t="b">
        <v>0</v>
      </c>
      <c r="L27" s="87">
        <f>H27+ROUNDDOWN(BD3/2,0)+ROUNDDOWN(IF(K27,Des+BT*1.5,IF(J27,Des+BT,Des)),0)</f>
        <v>0</v>
      </c>
      <c r="M27" s="11"/>
      <c r="N27" s="84" t="s">
        <v>115</v>
      </c>
      <c r="O27" s="10"/>
      <c r="P27" s="10"/>
      <c r="Q27" s="11"/>
      <c r="R27" s="84" t="s">
        <v>106</v>
      </c>
      <c r="S27" s="11"/>
      <c r="T27" s="85"/>
      <c r="U27" s="11"/>
      <c r="V27" s="86" t="b">
        <v>0</v>
      </c>
      <c r="W27" s="86" t="b">
        <v>0</v>
      </c>
      <c r="X27" s="87">
        <f>T27+ROUNDDOWN(BD3/2,0)+ROUNDDOWN(IF(W27,Sab+BT*1.5,IF(V27,Sab+BT,Sab)),0)</f>
        <v>0</v>
      </c>
      <c r="Y27" s="11"/>
      <c r="AA27" s="89"/>
      <c r="AB27" s="10"/>
      <c r="AC27" s="10"/>
      <c r="AD27" s="10"/>
      <c r="AE27" s="11"/>
      <c r="AF27" s="90"/>
      <c r="AG27" s="11"/>
      <c r="AH27" s="41"/>
      <c r="AI27" s="10"/>
      <c r="AJ27" s="10"/>
      <c r="AK27" s="11"/>
      <c r="AL27" s="41"/>
      <c r="AM27" s="11"/>
      <c r="AN27" s="41"/>
      <c r="AO27" s="10"/>
      <c r="AP27" s="11"/>
      <c r="AQ27" s="41"/>
      <c r="AR27" s="10"/>
      <c r="AS27" s="11"/>
      <c r="AT27" s="91"/>
      <c r="AU27" s="10"/>
      <c r="AV27" s="10"/>
      <c r="AW27" s="10"/>
      <c r="AX27" s="11"/>
      <c r="AZ27" s="43"/>
      <c r="BA27" s="10"/>
      <c r="BB27" s="10"/>
      <c r="BC27" s="10"/>
      <c r="BD27" s="10"/>
      <c r="BE27" s="10"/>
      <c r="BF27" s="11"/>
      <c r="BH27" s="40"/>
      <c r="BI27" s="10"/>
      <c r="BJ27" s="10"/>
      <c r="BK27" s="10"/>
      <c r="BL27" s="10"/>
      <c r="BM27" s="11"/>
      <c r="BN27" s="41"/>
      <c r="BO27" s="11"/>
      <c r="BP27" s="41"/>
      <c r="BQ27" s="11"/>
      <c r="BR27" s="41"/>
      <c r="BS27" s="11"/>
    </row>
    <row r="28">
      <c r="B28" s="84" t="s">
        <v>116</v>
      </c>
      <c r="C28" s="10"/>
      <c r="D28" s="10"/>
      <c r="E28" s="11"/>
      <c r="F28" s="84" t="s">
        <v>75</v>
      </c>
      <c r="G28" s="11"/>
      <c r="H28" s="85"/>
      <c r="I28" s="11"/>
      <c r="J28" s="86" t="b">
        <v>0</v>
      </c>
      <c r="K28" s="86" t="b">
        <v>0</v>
      </c>
      <c r="L28" s="87">
        <f>H28+ROUNDDOWN(BD3/2,0)+ROUNDDOWN(IF(K28,Des+BT*1.5,IF(J28,Des+BT,Des)),0)</f>
        <v>0</v>
      </c>
      <c r="M28" s="11"/>
      <c r="N28" s="84" t="s">
        <v>117</v>
      </c>
      <c r="O28" s="10"/>
      <c r="P28" s="10"/>
      <c r="Q28" s="11"/>
      <c r="R28" s="84" t="s">
        <v>106</v>
      </c>
      <c r="S28" s="11"/>
      <c r="T28" s="85"/>
      <c r="U28" s="11"/>
      <c r="V28" s="86" t="b">
        <v>0</v>
      </c>
      <c r="W28" s="86" t="b">
        <v>0</v>
      </c>
      <c r="X28" s="87">
        <f>T28+ROUNDDOWN(BD3/2,0)+ROUNDDOWN(IF(W28,Sab+BT*1.5,IF(V28,Sab+BT,Sab)),0)</f>
        <v>0</v>
      </c>
      <c r="Y28" s="11"/>
      <c r="AA28" s="92"/>
      <c r="AB28" s="10"/>
      <c r="AC28" s="10"/>
      <c r="AD28" s="10"/>
      <c r="AE28" s="11"/>
      <c r="AF28" s="93"/>
      <c r="AG28" s="11"/>
      <c r="AH28" s="41"/>
      <c r="AI28" s="10"/>
      <c r="AJ28" s="10"/>
      <c r="AK28" s="11"/>
      <c r="AL28" s="91"/>
      <c r="AM28" s="11"/>
      <c r="AN28" s="91"/>
      <c r="AO28" s="10"/>
      <c r="AP28" s="11"/>
      <c r="AQ28" s="91"/>
      <c r="AR28" s="10"/>
      <c r="AS28" s="11"/>
      <c r="AT28" s="91"/>
      <c r="AU28" s="10"/>
      <c r="AV28" s="10"/>
      <c r="AW28" s="10"/>
      <c r="AX28" s="11"/>
      <c r="AZ28" s="43"/>
      <c r="BA28" s="10"/>
      <c r="BB28" s="10"/>
      <c r="BC28" s="10"/>
      <c r="BD28" s="10"/>
      <c r="BE28" s="10"/>
      <c r="BF28" s="11"/>
      <c r="BH28" s="40"/>
      <c r="BI28" s="10"/>
      <c r="BJ28" s="10"/>
      <c r="BK28" s="10"/>
      <c r="BL28" s="10"/>
      <c r="BM28" s="11"/>
      <c r="BN28" s="41"/>
      <c r="BO28" s="11"/>
      <c r="BP28" s="41"/>
      <c r="BQ28" s="11"/>
      <c r="BR28" s="41"/>
      <c r="BS28" s="11"/>
    </row>
    <row r="29">
      <c r="B29" s="84" t="s">
        <v>118</v>
      </c>
      <c r="C29" s="10"/>
      <c r="D29" s="10"/>
      <c r="E29" s="11"/>
      <c r="F29" s="84" t="s">
        <v>101</v>
      </c>
      <c r="G29" s="11"/>
      <c r="H29" s="85"/>
      <c r="I29" s="11"/>
      <c r="J29" s="86" t="b">
        <v>0</v>
      </c>
      <c r="K29" s="86" t="b">
        <v>0</v>
      </c>
      <c r="L29" s="87">
        <f>H29+ROUNDDOWN(BD3/2,0)+ROUNDDOWN(IF(K29,Int+BT*1.5,IF(J29,Int+BT,Int)),0)+IF(Treinamentos!AA6 = TRUE, +1, +0)+IF(Treinamentos!AA8 = TRUE, +2, +0)</f>
        <v>0</v>
      </c>
      <c r="M29" s="11"/>
      <c r="N29" s="84" t="s">
        <v>119</v>
      </c>
      <c r="O29" s="10"/>
      <c r="P29" s="10"/>
      <c r="Q29" s="11"/>
      <c r="R29" s="84" t="s">
        <v>106</v>
      </c>
      <c r="S29" s="11"/>
      <c r="T29" s="85"/>
      <c r="U29" s="11"/>
      <c r="V29" s="86" t="b">
        <v>0</v>
      </c>
      <c r="W29" s="86" t="b">
        <v>0</v>
      </c>
      <c r="X29" s="87">
        <f>T29+ROUNDDOWN(BD3/2,0)+ROUNDDOWN(IF(W29,Sab+BT*1.5,IF(V29,Sab+BT,Sab)),0)+IF(Treinamentos!AA6 = TRUE, +1, +0)+IF(Treinamentos!AA8 = TRUE, +2, +0)</f>
        <v>0</v>
      </c>
      <c r="Y29" s="11"/>
      <c r="AA29" s="92"/>
      <c r="AB29" s="10"/>
      <c r="AC29" s="10"/>
      <c r="AD29" s="10"/>
      <c r="AE29" s="11"/>
      <c r="AF29" s="93"/>
      <c r="AG29" s="11"/>
      <c r="AH29" s="41"/>
      <c r="AI29" s="10"/>
      <c r="AJ29" s="10"/>
      <c r="AK29" s="11"/>
      <c r="AL29" s="91"/>
      <c r="AM29" s="11"/>
      <c r="AN29" s="91"/>
      <c r="AO29" s="10"/>
      <c r="AP29" s="11"/>
      <c r="AQ29" s="91"/>
      <c r="AR29" s="10"/>
      <c r="AS29" s="11"/>
      <c r="AT29" s="91"/>
      <c r="AU29" s="10"/>
      <c r="AV29" s="10"/>
      <c r="AW29" s="10"/>
      <c r="AX29" s="11"/>
      <c r="AZ29" s="43"/>
      <c r="BA29" s="10"/>
      <c r="BB29" s="10"/>
      <c r="BC29" s="10"/>
      <c r="BD29" s="10"/>
      <c r="BE29" s="10"/>
      <c r="BF29" s="11"/>
      <c r="BH29" s="40"/>
      <c r="BI29" s="10"/>
      <c r="BJ29" s="10"/>
      <c r="BK29" s="10"/>
      <c r="BL29" s="10"/>
      <c r="BM29" s="11"/>
      <c r="BN29" s="41"/>
      <c r="BO29" s="11"/>
      <c r="BP29" s="41"/>
      <c r="BQ29" s="11"/>
      <c r="BR29" s="41"/>
      <c r="BS29" s="11"/>
    </row>
    <row r="30">
      <c r="B30" s="84" t="s">
        <v>120</v>
      </c>
      <c r="C30" s="10"/>
      <c r="D30" s="10"/>
      <c r="E30" s="11"/>
      <c r="F30" s="84" t="s">
        <v>101</v>
      </c>
      <c r="G30" s="11"/>
      <c r="H30" s="85"/>
      <c r="I30" s="11"/>
      <c r="J30" s="86" t="b">
        <v>0</v>
      </c>
      <c r="K30" s="86" t="b">
        <v>0</v>
      </c>
      <c r="L30" s="87">
        <f>H30+ROUNDDOWN(BD3/2,0)+ROUNDDOWN(IF(K30,Int+BT*1.5,IF(J30,Int+BT,Int)),0)</f>
        <v>0</v>
      </c>
      <c r="M30" s="11"/>
      <c r="N30" s="84" t="s">
        <v>121</v>
      </c>
      <c r="O30" s="10"/>
      <c r="P30" s="10"/>
      <c r="Q30" s="11"/>
      <c r="R30" s="84" t="s">
        <v>106</v>
      </c>
      <c r="S30" s="11"/>
      <c r="T30" s="85"/>
      <c r="U30" s="11"/>
      <c r="V30" s="86" t="b">
        <v>0</v>
      </c>
      <c r="W30" s="86" t="b">
        <v>0</v>
      </c>
      <c r="X30" s="87">
        <f>T30+ROUNDDOWN(BD3/2,0)+ROUNDDOWN(IF(W30,Sab+BT*1.5,IF(V30,Sab+BT,Sab)),0)</f>
        <v>0</v>
      </c>
      <c r="Y30" s="11"/>
      <c r="AA30" s="92"/>
      <c r="AB30" s="10"/>
      <c r="AC30" s="10"/>
      <c r="AD30" s="10"/>
      <c r="AE30" s="11"/>
      <c r="AF30" s="93"/>
      <c r="AG30" s="11"/>
      <c r="AH30" s="41"/>
      <c r="AI30" s="10"/>
      <c r="AJ30" s="10"/>
      <c r="AK30" s="11"/>
      <c r="AL30" s="91"/>
      <c r="AM30" s="11"/>
      <c r="AN30" s="91"/>
      <c r="AO30" s="10"/>
      <c r="AP30" s="11"/>
      <c r="AQ30" s="91"/>
      <c r="AR30" s="10"/>
      <c r="AS30" s="11"/>
      <c r="AT30" s="91"/>
      <c r="AU30" s="10"/>
      <c r="AV30" s="10"/>
      <c r="AW30" s="10"/>
      <c r="AX30" s="11"/>
      <c r="AZ30" s="43"/>
      <c r="BA30" s="10"/>
      <c r="BB30" s="10"/>
      <c r="BC30" s="10"/>
      <c r="BD30" s="10"/>
      <c r="BE30" s="10"/>
      <c r="BF30" s="11"/>
      <c r="BH30" s="40"/>
      <c r="BI30" s="10"/>
      <c r="BJ30" s="10"/>
      <c r="BK30" s="10"/>
      <c r="BL30" s="10"/>
      <c r="BM30" s="11"/>
      <c r="BN30" s="41"/>
      <c r="BO30" s="11"/>
      <c r="BP30" s="41"/>
      <c r="BQ30" s="11"/>
      <c r="BR30" s="41"/>
      <c r="BS30" s="11"/>
    </row>
    <row r="31">
      <c r="B31" s="84" t="s">
        <v>122</v>
      </c>
      <c r="C31" s="10"/>
      <c r="D31" s="10"/>
      <c r="E31" s="11"/>
      <c r="F31" s="84" t="s">
        <v>101</v>
      </c>
      <c r="G31" s="11"/>
      <c r="H31" s="85"/>
      <c r="I31" s="11"/>
      <c r="J31" s="86" t="b">
        <v>0</v>
      </c>
      <c r="K31" s="86" t="b">
        <v>0</v>
      </c>
      <c r="L31" s="87">
        <f>H31+ROUNDDOWN(BD3/2,0)+ROUNDDOWN(IF(K31,Int+BT*1.5,IF(J31,Int+BT,Int)),0)</f>
        <v>0</v>
      </c>
      <c r="M31" s="11"/>
      <c r="N31" s="84" t="s">
        <v>123</v>
      </c>
      <c r="O31" s="10"/>
      <c r="P31" s="10"/>
      <c r="Q31" s="11"/>
      <c r="R31" s="84" t="s">
        <v>106</v>
      </c>
      <c r="S31" s="11"/>
      <c r="T31" s="85"/>
      <c r="U31" s="11"/>
      <c r="V31" s="86" t="b">
        <v>0</v>
      </c>
      <c r="W31" s="86" t="b">
        <v>0</v>
      </c>
      <c r="X31" s="87">
        <f>T31+ROUNDDOWN(BD3/2,0)+ROUNDDOWN(IF(W31,Sab+BT*1.5,IF(V31,Sab+BT,Sab)),0)</f>
        <v>0</v>
      </c>
      <c r="Y31" s="11"/>
      <c r="AA31" s="92"/>
      <c r="AB31" s="10"/>
      <c r="AC31" s="10"/>
      <c r="AD31" s="10"/>
      <c r="AE31" s="11"/>
      <c r="AF31" s="93"/>
      <c r="AG31" s="11"/>
      <c r="AH31" s="41"/>
      <c r="AI31" s="10"/>
      <c r="AJ31" s="10"/>
      <c r="AK31" s="11"/>
      <c r="AL31" s="91"/>
      <c r="AM31" s="11"/>
      <c r="AN31" s="91"/>
      <c r="AO31" s="10"/>
      <c r="AP31" s="11"/>
      <c r="AQ31" s="91"/>
      <c r="AR31" s="10"/>
      <c r="AS31" s="11"/>
      <c r="AT31" s="91"/>
      <c r="AU31" s="10"/>
      <c r="AV31" s="10"/>
      <c r="AW31" s="10"/>
      <c r="AX31" s="11"/>
      <c r="AZ31" s="43"/>
      <c r="BA31" s="10"/>
      <c r="BB31" s="10"/>
      <c r="BC31" s="10"/>
      <c r="BD31" s="10"/>
      <c r="BE31" s="10"/>
      <c r="BF31" s="11"/>
      <c r="BH31" s="40"/>
      <c r="BI31" s="10"/>
      <c r="BJ31" s="10"/>
      <c r="BK31" s="10"/>
      <c r="BL31" s="10"/>
      <c r="BM31" s="11"/>
      <c r="BN31" s="41"/>
      <c r="BO31" s="11"/>
      <c r="BP31" s="41"/>
      <c r="BQ31" s="11"/>
      <c r="BR31" s="41"/>
      <c r="BS31" s="11"/>
    </row>
    <row r="32">
      <c r="B32" s="84" t="s">
        <v>124</v>
      </c>
      <c r="C32" s="10"/>
      <c r="D32" s="10"/>
      <c r="E32" s="11"/>
      <c r="F32" s="84" t="s">
        <v>101</v>
      </c>
      <c r="G32" s="11"/>
      <c r="H32" s="85"/>
      <c r="I32" s="11"/>
      <c r="J32" s="86" t="b">
        <v>0</v>
      </c>
      <c r="K32" s="86" t="b">
        <v>0</v>
      </c>
      <c r="L32" s="87">
        <f>H32+ROUNDDOWN(BD3/2,0)+ROUNDDOWN(IF(K32,Int+BT*1.5,IF(J32,Int+BT,Int)),0)</f>
        <v>0</v>
      </c>
      <c r="M32" s="11"/>
      <c r="N32" s="94" t="s">
        <v>125</v>
      </c>
      <c r="O32" s="10"/>
      <c r="P32" s="10"/>
      <c r="Q32" s="11"/>
      <c r="R32" s="84" t="s">
        <v>126</v>
      </c>
      <c r="S32" s="11"/>
      <c r="T32" s="85"/>
      <c r="U32" s="11"/>
      <c r="V32" s="86" t="b">
        <v>0</v>
      </c>
      <c r="W32" s="86" t="b">
        <v>0</v>
      </c>
      <c r="X32" s="87">
        <f>T32+ROUNDDOWN(BD3/2,0)+ROUNDDOWN(IF(W32,Pre+BT*1.5,IF(V32,Pre+BT,Pre)),0)</f>
        <v>0</v>
      </c>
      <c r="Y32" s="11"/>
      <c r="AA32" s="13" t="s">
        <v>127</v>
      </c>
      <c r="AB32" s="10"/>
      <c r="AC32" s="10"/>
      <c r="AD32" s="10"/>
      <c r="AE32" s="10"/>
      <c r="AF32" s="10"/>
      <c r="AG32" s="10"/>
      <c r="AH32" s="10"/>
      <c r="AI32" s="10"/>
      <c r="AJ32" s="10"/>
      <c r="AK32" s="10"/>
      <c r="AL32" s="10"/>
      <c r="AM32" s="10"/>
      <c r="AN32" s="10"/>
      <c r="AO32" s="10"/>
      <c r="AP32" s="10"/>
      <c r="AQ32" s="10"/>
      <c r="AR32" s="10"/>
      <c r="AS32" s="10"/>
      <c r="AT32" s="10"/>
      <c r="AU32" s="10"/>
      <c r="AV32" s="10"/>
      <c r="AW32" s="10"/>
      <c r="AX32" s="11"/>
      <c r="AZ32" s="43"/>
      <c r="BA32" s="10"/>
      <c r="BB32" s="10"/>
      <c r="BC32" s="10"/>
      <c r="BD32" s="10"/>
      <c r="BE32" s="10"/>
      <c r="BF32" s="11"/>
      <c r="BH32" s="40"/>
      <c r="BI32" s="10"/>
      <c r="BJ32" s="10"/>
      <c r="BK32" s="10"/>
      <c r="BL32" s="10"/>
      <c r="BM32" s="11"/>
      <c r="BN32" s="41"/>
      <c r="BO32" s="11"/>
      <c r="BP32" s="41"/>
      <c r="BQ32" s="11"/>
      <c r="BR32" s="41"/>
      <c r="BS32" s="11"/>
    </row>
    <row r="33">
      <c r="B33" s="84" t="s">
        <v>124</v>
      </c>
      <c r="C33" s="10"/>
      <c r="D33" s="10"/>
      <c r="E33" s="11"/>
      <c r="F33" s="84" t="s">
        <v>101</v>
      </c>
      <c r="G33" s="11"/>
      <c r="H33" s="85"/>
      <c r="I33" s="11"/>
      <c r="J33" s="86" t="b">
        <v>0</v>
      </c>
      <c r="K33" s="86" t="b">
        <v>0</v>
      </c>
      <c r="L33" s="87">
        <f>H33+ROUNDDOWN(BD3/2,0)+ROUNDDOWN(IF(K33,Int+BT*1.5,IF(J33,Int+BT,Int)),0)</f>
        <v>0</v>
      </c>
      <c r="M33" s="11"/>
      <c r="N33" s="84" t="s">
        <v>128</v>
      </c>
      <c r="O33" s="10"/>
      <c r="P33" s="10"/>
      <c r="Q33" s="11"/>
      <c r="R33" s="84" t="s">
        <v>126</v>
      </c>
      <c r="S33" s="11"/>
      <c r="T33" s="85"/>
      <c r="U33" s="11"/>
      <c r="V33" s="86" t="b">
        <v>0</v>
      </c>
      <c r="W33" s="86" t="b">
        <v>0</v>
      </c>
      <c r="X33" s="87">
        <f>T33+ROUNDDOWN(BD3/2,0)+ROUNDDOWN(IF(W33,Pre+BT*1.5,IF(V33,Pre+BT,Pre)),0)</f>
        <v>0</v>
      </c>
      <c r="Y33" s="11"/>
      <c r="AA33" s="95"/>
      <c r="AB33" s="4"/>
      <c r="AC33" s="4"/>
      <c r="AD33" s="4"/>
      <c r="AE33" s="4"/>
      <c r="AF33" s="4"/>
      <c r="AG33" s="4"/>
      <c r="AH33" s="4"/>
      <c r="AI33" s="4"/>
      <c r="AJ33" s="4"/>
      <c r="AK33" s="4"/>
      <c r="AL33" s="4"/>
      <c r="AM33" s="4"/>
      <c r="AN33" s="4"/>
      <c r="AO33" s="4"/>
      <c r="AP33" s="4"/>
      <c r="AQ33" s="4"/>
      <c r="AR33" s="4"/>
      <c r="AS33" s="4"/>
      <c r="AT33" s="4"/>
      <c r="AU33" s="4"/>
      <c r="AV33" s="4"/>
      <c r="AW33" s="4"/>
      <c r="AX33" s="5"/>
      <c r="AZ33" s="43"/>
      <c r="BA33" s="10"/>
      <c r="BB33" s="10"/>
      <c r="BC33" s="10"/>
      <c r="BD33" s="10"/>
      <c r="BE33" s="10"/>
      <c r="BF33" s="11"/>
      <c r="BH33" s="40"/>
      <c r="BI33" s="10"/>
      <c r="BJ33" s="10"/>
      <c r="BK33" s="10"/>
      <c r="BL33" s="10"/>
      <c r="BM33" s="11"/>
      <c r="BN33" s="41"/>
      <c r="BO33" s="11"/>
      <c r="BP33" s="41"/>
      <c r="BQ33" s="11"/>
      <c r="BR33" s="41"/>
      <c r="BS33" s="11"/>
    </row>
    <row r="34">
      <c r="B34" s="84" t="s">
        <v>124</v>
      </c>
      <c r="C34" s="10"/>
      <c r="D34" s="10"/>
      <c r="E34" s="11"/>
      <c r="F34" s="84" t="s">
        <v>101</v>
      </c>
      <c r="G34" s="11"/>
      <c r="H34" s="85"/>
      <c r="I34" s="11"/>
      <c r="J34" s="86" t="b">
        <v>0</v>
      </c>
      <c r="K34" s="86" t="b">
        <v>0</v>
      </c>
      <c r="L34" s="87">
        <f>H34+ROUNDDOWN(BD3/2,0)+ROUNDDOWN(IF(K34,Int+BT*1.5,IF(J34,Int+BT,Int)),0)</f>
        <v>0</v>
      </c>
      <c r="M34" s="11"/>
      <c r="N34" s="84" t="s">
        <v>129</v>
      </c>
      <c r="O34" s="10"/>
      <c r="P34" s="10"/>
      <c r="Q34" s="11"/>
      <c r="R34" s="84" t="s">
        <v>126</v>
      </c>
      <c r="S34" s="11"/>
      <c r="T34" s="85"/>
      <c r="U34" s="11"/>
      <c r="V34" s="86" t="b">
        <v>0</v>
      </c>
      <c r="W34" s="86" t="b">
        <v>0</v>
      </c>
      <c r="X34" s="87">
        <f>T34+ROUNDDOWN(BD3/2,0)+ROUNDDOWN(IF(W34,Pre+BT*1.5,IF(V34,Pre+BT,Pre)),0)</f>
        <v>0</v>
      </c>
      <c r="Y34" s="11"/>
      <c r="AA34" s="36"/>
      <c r="AX34" s="37"/>
      <c r="AZ34" s="43"/>
      <c r="BA34" s="10"/>
      <c r="BB34" s="10"/>
      <c r="BC34" s="10"/>
      <c r="BD34" s="10"/>
      <c r="BE34" s="10"/>
      <c r="BF34" s="11"/>
      <c r="BH34" s="40"/>
      <c r="BI34" s="10"/>
      <c r="BJ34" s="10"/>
      <c r="BK34" s="10"/>
      <c r="BL34" s="10"/>
      <c r="BM34" s="11"/>
      <c r="BN34" s="41"/>
      <c r="BO34" s="11"/>
      <c r="BP34" s="41"/>
      <c r="BQ34" s="11"/>
      <c r="BR34" s="41"/>
      <c r="BS34" s="11"/>
    </row>
    <row r="35">
      <c r="B35" s="84" t="s">
        <v>130</v>
      </c>
      <c r="C35" s="10"/>
      <c r="D35" s="10"/>
      <c r="E35" s="11"/>
      <c r="F35" s="84" t="s">
        <v>101</v>
      </c>
      <c r="G35" s="11"/>
      <c r="H35" s="85"/>
      <c r="I35" s="11"/>
      <c r="J35" s="86" t="b">
        <v>0</v>
      </c>
      <c r="K35" s="86" t="b">
        <v>0</v>
      </c>
      <c r="L35" s="87">
        <f>H35+ROUNDDOWN(BD3/2,0)+ROUNDDOWN(IF(K35,Int+BT*1.5,IF(J35,Int+BT,Int)),0)</f>
        <v>0</v>
      </c>
      <c r="M35" s="11"/>
      <c r="N35" s="84" t="s">
        <v>131</v>
      </c>
      <c r="O35" s="10"/>
      <c r="P35" s="10"/>
      <c r="Q35" s="11"/>
      <c r="R35" s="84" t="s">
        <v>126</v>
      </c>
      <c r="S35" s="11"/>
      <c r="T35" s="85"/>
      <c r="U35" s="11"/>
      <c r="V35" s="86" t="b">
        <v>0</v>
      </c>
      <c r="W35" s="86" t="b">
        <v>0</v>
      </c>
      <c r="X35" s="87">
        <f>T35+ROUNDDOWN(BD3/2,0)+ROUNDDOWN(IF(W35,Pre+BT*1.5,IF(V35,Pre+BT,Pre)),0)</f>
        <v>0</v>
      </c>
      <c r="Y35" s="11"/>
      <c r="AA35" s="16"/>
      <c r="AB35" s="17"/>
      <c r="AC35" s="17"/>
      <c r="AD35" s="17"/>
      <c r="AE35" s="17"/>
      <c r="AF35" s="17"/>
      <c r="AG35" s="17"/>
      <c r="AH35" s="17"/>
      <c r="AI35" s="17"/>
      <c r="AJ35" s="17"/>
      <c r="AK35" s="17"/>
      <c r="AL35" s="17"/>
      <c r="AM35" s="17"/>
      <c r="AN35" s="17"/>
      <c r="AO35" s="17"/>
      <c r="AP35" s="17"/>
      <c r="AQ35" s="17"/>
      <c r="AR35" s="17"/>
      <c r="AS35" s="17"/>
      <c r="AT35" s="17"/>
      <c r="AU35" s="17"/>
      <c r="AV35" s="17"/>
      <c r="AW35" s="17"/>
      <c r="AX35" s="18"/>
      <c r="AZ35" s="43"/>
      <c r="BA35" s="10"/>
      <c r="BB35" s="10"/>
      <c r="BC35" s="10"/>
      <c r="BD35" s="10"/>
      <c r="BE35" s="10"/>
      <c r="BF35" s="11"/>
      <c r="BH35" s="40"/>
      <c r="BI35" s="10"/>
      <c r="BJ35" s="10"/>
      <c r="BK35" s="10"/>
      <c r="BL35" s="10"/>
      <c r="BM35" s="11"/>
      <c r="BN35" s="41"/>
      <c r="BO35" s="11"/>
      <c r="BP35" s="41"/>
      <c r="BQ35" s="11"/>
      <c r="BR35" s="41"/>
      <c r="BS35" s="11"/>
    </row>
    <row r="36">
      <c r="A36" s="24"/>
    </row>
  </sheetData>
  <mergeCells count="469">
    <mergeCell ref="BH12:BM12"/>
    <mergeCell ref="BN12:BO12"/>
    <mergeCell ref="BP12:BQ12"/>
    <mergeCell ref="BR12:BS12"/>
    <mergeCell ref="BH13:BM13"/>
    <mergeCell ref="BN13:BO13"/>
    <mergeCell ref="BP13:BQ13"/>
    <mergeCell ref="BR13:BS13"/>
    <mergeCell ref="BH14:BM14"/>
    <mergeCell ref="BN14:BO14"/>
    <mergeCell ref="BP14:BQ14"/>
    <mergeCell ref="BR14:BS14"/>
    <mergeCell ref="BP15:BQ15"/>
    <mergeCell ref="BR15:BS15"/>
    <mergeCell ref="BH15:BM15"/>
    <mergeCell ref="BN15:BO15"/>
    <mergeCell ref="BH16:BM16"/>
    <mergeCell ref="BN16:BO16"/>
    <mergeCell ref="BP16:BQ16"/>
    <mergeCell ref="BR16:BS16"/>
    <mergeCell ref="BH17:BM17"/>
    <mergeCell ref="BN17:BO17"/>
    <mergeCell ref="BP17:BQ17"/>
    <mergeCell ref="BR17:BS17"/>
    <mergeCell ref="BH18:BM18"/>
    <mergeCell ref="BN18:BO18"/>
    <mergeCell ref="BP18:BQ18"/>
    <mergeCell ref="BR18:BS18"/>
    <mergeCell ref="BH19:BM19"/>
    <mergeCell ref="BN19:BO19"/>
    <mergeCell ref="BP19:BQ19"/>
    <mergeCell ref="BR19:BS19"/>
    <mergeCell ref="BD20:BF20"/>
    <mergeCell ref="BH20:BM20"/>
    <mergeCell ref="BN20:BO20"/>
    <mergeCell ref="BP20:BQ20"/>
    <mergeCell ref="BR20:BS20"/>
    <mergeCell ref="BD21:BF21"/>
    <mergeCell ref="BH21:BM21"/>
    <mergeCell ref="BN21:BO21"/>
    <mergeCell ref="BP21:BQ21"/>
    <mergeCell ref="BR21:BS21"/>
    <mergeCell ref="BD22:BF22"/>
    <mergeCell ref="BH22:BM22"/>
    <mergeCell ref="BN22:BO22"/>
    <mergeCell ref="BP22:BQ22"/>
    <mergeCell ref="BH24:BM24"/>
    <mergeCell ref="BN24:BO24"/>
    <mergeCell ref="BP24:BQ24"/>
    <mergeCell ref="BR24:BS24"/>
    <mergeCell ref="BH25:BM25"/>
    <mergeCell ref="BN25:BO25"/>
    <mergeCell ref="BP25:BQ25"/>
    <mergeCell ref="BR25:BS25"/>
    <mergeCell ref="BH26:BM26"/>
    <mergeCell ref="BN26:BO26"/>
    <mergeCell ref="BP26:BQ26"/>
    <mergeCell ref="BR26:BS26"/>
    <mergeCell ref="BH27:BM27"/>
    <mergeCell ref="BN27:BO27"/>
    <mergeCell ref="BP27:BQ27"/>
    <mergeCell ref="BR27:BS27"/>
    <mergeCell ref="BH28:BM28"/>
    <mergeCell ref="BN28:BO28"/>
    <mergeCell ref="BP28:BQ28"/>
    <mergeCell ref="BR28:BS28"/>
    <mergeCell ref="BH29:BM29"/>
    <mergeCell ref="BN29:BO29"/>
    <mergeCell ref="BP29:BQ29"/>
    <mergeCell ref="BR29:BS29"/>
    <mergeCell ref="BH30:BM30"/>
    <mergeCell ref="BN30:BO30"/>
    <mergeCell ref="BP30:BQ30"/>
    <mergeCell ref="BR30:BS30"/>
    <mergeCell ref="BR22:BS22"/>
    <mergeCell ref="BD23:BF23"/>
    <mergeCell ref="BH23:BM23"/>
    <mergeCell ref="BN23:BO23"/>
    <mergeCell ref="BP23:BQ23"/>
    <mergeCell ref="BR23:BS23"/>
    <mergeCell ref="BP34:BQ34"/>
    <mergeCell ref="BR34:BS34"/>
    <mergeCell ref="BH35:BM35"/>
    <mergeCell ref="BN35:BO35"/>
    <mergeCell ref="BP35:BQ35"/>
    <mergeCell ref="BR35:BS35"/>
    <mergeCell ref="BD2:BF2"/>
    <mergeCell ref="BG2:BG4"/>
    <mergeCell ref="BD3:BF4"/>
    <mergeCell ref="BG6:BG35"/>
    <mergeCell ref="BT6:BT35"/>
    <mergeCell ref="BH8:BM8"/>
    <mergeCell ref="BN8:BO8"/>
    <mergeCell ref="BH31:BM31"/>
    <mergeCell ref="BN31:BO31"/>
    <mergeCell ref="BP31:BQ31"/>
    <mergeCell ref="BR31:BS31"/>
    <mergeCell ref="BH32:BM32"/>
    <mergeCell ref="BN32:BO32"/>
    <mergeCell ref="BP32:BQ32"/>
    <mergeCell ref="BR32:BS32"/>
    <mergeCell ref="BH33:BM33"/>
    <mergeCell ref="BN33:BO33"/>
    <mergeCell ref="BP33:BQ33"/>
    <mergeCell ref="BR33:BS33"/>
    <mergeCell ref="BH34:BM34"/>
    <mergeCell ref="BN34:BO34"/>
    <mergeCell ref="AK15:AM16"/>
    <mergeCell ref="AS15:AU18"/>
    <mergeCell ref="AO18:AQ18"/>
    <mergeCell ref="AY13:AY15"/>
    <mergeCell ref="AY17:AY18"/>
    <mergeCell ref="X9:Z9"/>
    <mergeCell ref="X10:Z10"/>
    <mergeCell ref="X13:X18"/>
    <mergeCell ref="AN13:AN18"/>
    <mergeCell ref="Y14:AA14"/>
    <mergeCell ref="AK14:AM14"/>
    <mergeCell ref="AV17:AW17"/>
    <mergeCell ref="AV18:AW18"/>
    <mergeCell ref="AB14:AD14"/>
    <mergeCell ref="AE14:AG14"/>
    <mergeCell ref="AR13:AR18"/>
    <mergeCell ref="AO14:AQ17"/>
    <mergeCell ref="AS14:AU14"/>
    <mergeCell ref="AV14:AW14"/>
    <mergeCell ref="AZ15:BC15"/>
    <mergeCell ref="AZ16:BC16"/>
    <mergeCell ref="X11:Y11"/>
    <mergeCell ref="Z11:AA11"/>
    <mergeCell ref="O12:AY12"/>
    <mergeCell ref="Y13:AM13"/>
    <mergeCell ref="AO13:AQ13"/>
    <mergeCell ref="AS13:AX13"/>
    <mergeCell ref="AZ13:BF14"/>
    <mergeCell ref="AE15:AG16"/>
    <mergeCell ref="AH15:AJ16"/>
    <mergeCell ref="AV15:AW15"/>
    <mergeCell ref="AV16:AW16"/>
    <mergeCell ref="AZ18:BF19"/>
    <mergeCell ref="U14:W14"/>
    <mergeCell ref="AH14:AJ14"/>
    <mergeCell ref="O15:Q16"/>
    <mergeCell ref="R15:T16"/>
    <mergeCell ref="U15:W16"/>
    <mergeCell ref="Y15:AA16"/>
    <mergeCell ref="AB15:AD16"/>
    <mergeCell ref="J12:M12"/>
    <mergeCell ref="B13:C13"/>
    <mergeCell ref="D13:E13"/>
    <mergeCell ref="F13:G13"/>
    <mergeCell ref="H13:I13"/>
    <mergeCell ref="J13:K13"/>
    <mergeCell ref="L13:M13"/>
    <mergeCell ref="B16:M16"/>
    <mergeCell ref="B17:G17"/>
    <mergeCell ref="H17:M17"/>
    <mergeCell ref="B18:D18"/>
    <mergeCell ref="E18:F18"/>
    <mergeCell ref="H18:J18"/>
    <mergeCell ref="K18:M18"/>
    <mergeCell ref="B19:D20"/>
    <mergeCell ref="E19:F19"/>
    <mergeCell ref="E20:F20"/>
    <mergeCell ref="B25:E25"/>
    <mergeCell ref="F25:G25"/>
    <mergeCell ref="B26:E26"/>
    <mergeCell ref="F26:G26"/>
    <mergeCell ref="H26:I26"/>
    <mergeCell ref="L26:M26"/>
    <mergeCell ref="B27:E27"/>
    <mergeCell ref="F27:G27"/>
    <mergeCell ref="H27:I27"/>
    <mergeCell ref="L27:M27"/>
    <mergeCell ref="B28:E28"/>
    <mergeCell ref="F28:G28"/>
    <mergeCell ref="H28:I28"/>
    <mergeCell ref="L28:M28"/>
    <mergeCell ref="B29:E29"/>
    <mergeCell ref="F29:G29"/>
    <mergeCell ref="H29:I29"/>
    <mergeCell ref="L29:M29"/>
    <mergeCell ref="B21:M21"/>
    <mergeCell ref="B24:E24"/>
    <mergeCell ref="F24:G24"/>
    <mergeCell ref="H33:I33"/>
    <mergeCell ref="L33:M33"/>
    <mergeCell ref="B34:E34"/>
    <mergeCell ref="F34:G34"/>
    <mergeCell ref="H34:I34"/>
    <mergeCell ref="L34:M34"/>
    <mergeCell ref="B35:E35"/>
    <mergeCell ref="F35:G35"/>
    <mergeCell ref="H35:I35"/>
    <mergeCell ref="L35:M35"/>
    <mergeCell ref="B2:M3"/>
    <mergeCell ref="C4:L4"/>
    <mergeCell ref="A6:A35"/>
    <mergeCell ref="B6:M7"/>
    <mergeCell ref="N6:N21"/>
    <mergeCell ref="F8:I8"/>
    <mergeCell ref="J8:M8"/>
    <mergeCell ref="B30:E30"/>
    <mergeCell ref="F30:G30"/>
    <mergeCell ref="H30:I30"/>
    <mergeCell ref="L30:M30"/>
    <mergeCell ref="B31:E31"/>
    <mergeCell ref="F31:G31"/>
    <mergeCell ref="H31:I31"/>
    <mergeCell ref="L31:M31"/>
    <mergeCell ref="B32:E32"/>
    <mergeCell ref="F32:G32"/>
    <mergeCell ref="H32:I32"/>
    <mergeCell ref="L32:M32"/>
    <mergeCell ref="B33:E33"/>
    <mergeCell ref="F33:G33"/>
    <mergeCell ref="R24:S24"/>
    <mergeCell ref="T24:U24"/>
    <mergeCell ref="H24:I24"/>
    <mergeCell ref="H25:I25"/>
    <mergeCell ref="L25:M25"/>
    <mergeCell ref="N25:Q25"/>
    <mergeCell ref="R25:S25"/>
    <mergeCell ref="T25:U25"/>
    <mergeCell ref="N24:Q24"/>
    <mergeCell ref="N26:Q26"/>
    <mergeCell ref="R26:S26"/>
    <mergeCell ref="T26:U26"/>
    <mergeCell ref="N28:Q28"/>
    <mergeCell ref="R28:S28"/>
    <mergeCell ref="T28:U28"/>
    <mergeCell ref="X28:Y28"/>
    <mergeCell ref="N29:Q29"/>
    <mergeCell ref="R29:S29"/>
    <mergeCell ref="T29:U29"/>
    <mergeCell ref="X29:Y29"/>
    <mergeCell ref="N30:Q30"/>
    <mergeCell ref="R30:S30"/>
    <mergeCell ref="T30:U30"/>
    <mergeCell ref="X30:Y30"/>
    <mergeCell ref="N31:Q31"/>
    <mergeCell ref="R31:S31"/>
    <mergeCell ref="T31:U31"/>
    <mergeCell ref="X31:Y31"/>
    <mergeCell ref="X26:Y26"/>
    <mergeCell ref="N27:Q27"/>
    <mergeCell ref="R27:S27"/>
    <mergeCell ref="T27:U27"/>
    <mergeCell ref="X27:Y27"/>
    <mergeCell ref="T35:U35"/>
    <mergeCell ref="X35:Y35"/>
    <mergeCell ref="H19:J20"/>
    <mergeCell ref="K19:L19"/>
    <mergeCell ref="K20:L20"/>
    <mergeCell ref="Z22:Z35"/>
    <mergeCell ref="L24:M24"/>
    <mergeCell ref="X24:Y24"/>
    <mergeCell ref="X25:Y25"/>
    <mergeCell ref="N32:Q32"/>
    <mergeCell ref="R32:S32"/>
    <mergeCell ref="T32:U32"/>
    <mergeCell ref="X32:Y32"/>
    <mergeCell ref="N33:Q33"/>
    <mergeCell ref="R33:S33"/>
    <mergeCell ref="T33:U33"/>
    <mergeCell ref="X33:Y33"/>
    <mergeCell ref="N34:Q34"/>
    <mergeCell ref="R34:S34"/>
    <mergeCell ref="T34:U34"/>
    <mergeCell ref="X34:Y34"/>
    <mergeCell ref="N35:Q35"/>
    <mergeCell ref="R35:S35"/>
    <mergeCell ref="BH2:BJ2"/>
    <mergeCell ref="BK2:BT4"/>
    <mergeCell ref="BH3:BJ4"/>
    <mergeCell ref="BH6:BS7"/>
    <mergeCell ref="AP4:AT4"/>
    <mergeCell ref="AU4:BB4"/>
    <mergeCell ref="A1:BT1"/>
    <mergeCell ref="A2:A4"/>
    <mergeCell ref="N2:N4"/>
    <mergeCell ref="S2:AB3"/>
    <mergeCell ref="AC2:AG2"/>
    <mergeCell ref="AP3:AT3"/>
    <mergeCell ref="A5:BT5"/>
    <mergeCell ref="AI7:AK7"/>
    <mergeCell ref="AM7:AO7"/>
    <mergeCell ref="AP7:AR7"/>
    <mergeCell ref="AS7:AU7"/>
    <mergeCell ref="AZ7:BB7"/>
    <mergeCell ref="BC7:BD7"/>
    <mergeCell ref="O2:R3"/>
    <mergeCell ref="O7:Q7"/>
    <mergeCell ref="R7:T7"/>
    <mergeCell ref="U7:W7"/>
    <mergeCell ref="X7:Z7"/>
    <mergeCell ref="AC7:AE7"/>
    <mergeCell ref="AF7:AH7"/>
    <mergeCell ref="AV9:AX9"/>
    <mergeCell ref="AV10:AX10"/>
    <mergeCell ref="AU2:BB2"/>
    <mergeCell ref="BC2:BC4"/>
    <mergeCell ref="AU3:BB3"/>
    <mergeCell ref="AZ8:BB11"/>
    <mergeCell ref="BC8:BD8"/>
    <mergeCell ref="BC9:BD9"/>
    <mergeCell ref="BC10:BD10"/>
    <mergeCell ref="BC11:BD11"/>
    <mergeCell ref="AZ28:BF28"/>
    <mergeCell ref="AZ29:BF29"/>
    <mergeCell ref="AZ30:BF30"/>
    <mergeCell ref="AZ31:BF31"/>
    <mergeCell ref="AZ32:BF32"/>
    <mergeCell ref="AZ33:BF33"/>
    <mergeCell ref="AZ34:BF34"/>
    <mergeCell ref="AZ35:BF35"/>
    <mergeCell ref="AV7:AX8"/>
    <mergeCell ref="AV11:AX11"/>
    <mergeCell ref="AY23:AY35"/>
    <mergeCell ref="AZ23:BA23"/>
    <mergeCell ref="BB23:BC23"/>
    <mergeCell ref="AZ25:BF26"/>
    <mergeCell ref="AZ27:BF27"/>
    <mergeCell ref="BP8:BQ8"/>
    <mergeCell ref="BR8:BS8"/>
    <mergeCell ref="BH9:BM9"/>
    <mergeCell ref="BN9:BO9"/>
    <mergeCell ref="BP9:BQ9"/>
    <mergeCell ref="BR9:BS9"/>
    <mergeCell ref="BH10:BM10"/>
    <mergeCell ref="BN10:BO10"/>
    <mergeCell ref="BP10:BQ10"/>
    <mergeCell ref="BR10:BS10"/>
    <mergeCell ref="BH11:BM11"/>
    <mergeCell ref="BN11:BO11"/>
    <mergeCell ref="BP11:BQ11"/>
    <mergeCell ref="BR11:BS11"/>
    <mergeCell ref="B8:E8"/>
    <mergeCell ref="B9:C9"/>
    <mergeCell ref="D9:E9"/>
    <mergeCell ref="J9:K9"/>
    <mergeCell ref="L9:M9"/>
    <mergeCell ref="B10:C11"/>
    <mergeCell ref="D10:E11"/>
    <mergeCell ref="F10:G11"/>
    <mergeCell ref="H10:I11"/>
    <mergeCell ref="J10:K11"/>
    <mergeCell ref="L10:M11"/>
    <mergeCell ref="B12:E12"/>
    <mergeCell ref="F12:I12"/>
    <mergeCell ref="B14:C15"/>
    <mergeCell ref="D14:E15"/>
    <mergeCell ref="AH2:AO2"/>
    <mergeCell ref="AP2:AT2"/>
    <mergeCell ref="AC3:AG3"/>
    <mergeCell ref="AH3:AO3"/>
    <mergeCell ref="AC4:AG4"/>
    <mergeCell ref="AH4:AO4"/>
    <mergeCell ref="AC6:AK6"/>
    <mergeCell ref="AM6:AX6"/>
    <mergeCell ref="AZ6:BE6"/>
    <mergeCell ref="F9:G9"/>
    <mergeCell ref="H9:I9"/>
    <mergeCell ref="F14:G15"/>
    <mergeCell ref="H14:I15"/>
    <mergeCell ref="J14:K15"/>
    <mergeCell ref="L14:M15"/>
    <mergeCell ref="X8:Z8"/>
    <mergeCell ref="AC8:AE11"/>
    <mergeCell ref="AF8:AH11"/>
    <mergeCell ref="AI8:AK11"/>
    <mergeCell ref="AM8:AO11"/>
    <mergeCell ref="AP8:AR11"/>
    <mergeCell ref="AS8:AU11"/>
    <mergeCell ref="O4:R4"/>
    <mergeCell ref="S4:AB4"/>
    <mergeCell ref="O6:W6"/>
    <mergeCell ref="X6:AA6"/>
    <mergeCell ref="O8:Q11"/>
    <mergeCell ref="R8:T11"/>
    <mergeCell ref="U8:W11"/>
    <mergeCell ref="O13:W13"/>
    <mergeCell ref="O14:Q14"/>
    <mergeCell ref="R14:T14"/>
    <mergeCell ref="AN21:AR23"/>
    <mergeCell ref="AT21:AX23"/>
    <mergeCell ref="AG22:AG23"/>
    <mergeCell ref="AH22:AH23"/>
    <mergeCell ref="AI22:AI23"/>
    <mergeCell ref="AJ22:AJ23"/>
    <mergeCell ref="AK22:AK23"/>
    <mergeCell ref="AL22:AL23"/>
    <mergeCell ref="AA24:AX24"/>
    <mergeCell ref="AA25:AX25"/>
    <mergeCell ref="AF26:AG26"/>
    <mergeCell ref="AH26:AK26"/>
    <mergeCell ref="AL26:AM26"/>
    <mergeCell ref="AN26:AP26"/>
    <mergeCell ref="AQ26:AS26"/>
    <mergeCell ref="AT26:AX26"/>
    <mergeCell ref="AA26:AE26"/>
    <mergeCell ref="AF27:AG27"/>
    <mergeCell ref="AH27:AK27"/>
    <mergeCell ref="AL27:AM27"/>
    <mergeCell ref="AN27:AP27"/>
    <mergeCell ref="AQ27:AS27"/>
    <mergeCell ref="AT27:AX27"/>
    <mergeCell ref="AA29:AE29"/>
    <mergeCell ref="AF29:AG29"/>
    <mergeCell ref="AH29:AK29"/>
    <mergeCell ref="AL29:AM29"/>
    <mergeCell ref="AN29:AP29"/>
    <mergeCell ref="AQ29:AS29"/>
    <mergeCell ref="AT29:AX29"/>
    <mergeCell ref="AA30:AE30"/>
    <mergeCell ref="AF30:AG30"/>
    <mergeCell ref="AH30:AK30"/>
    <mergeCell ref="AL30:AM30"/>
    <mergeCell ref="AN30:AP30"/>
    <mergeCell ref="AQ30:AS30"/>
    <mergeCell ref="AT30:AX30"/>
    <mergeCell ref="AA32:AX32"/>
    <mergeCell ref="AA33:AX35"/>
    <mergeCell ref="A36:BT36"/>
    <mergeCell ref="AA31:AE31"/>
    <mergeCell ref="AF31:AG31"/>
    <mergeCell ref="AH31:AK31"/>
    <mergeCell ref="AL31:AM31"/>
    <mergeCell ref="AN31:AP31"/>
    <mergeCell ref="AQ31:AS31"/>
    <mergeCell ref="AT31:AX31"/>
    <mergeCell ref="R19:T19"/>
    <mergeCell ref="U19:W19"/>
    <mergeCell ref="P17:Q17"/>
    <mergeCell ref="S17:T17"/>
    <mergeCell ref="V17:W17"/>
    <mergeCell ref="P18:Q18"/>
    <mergeCell ref="S18:T18"/>
    <mergeCell ref="V18:W18"/>
    <mergeCell ref="O19:Q19"/>
    <mergeCell ref="AT20:AX20"/>
    <mergeCell ref="AZ20:BA20"/>
    <mergeCell ref="BB20:BC20"/>
    <mergeCell ref="AZ21:BA21"/>
    <mergeCell ref="BB21:BC21"/>
    <mergeCell ref="AZ22:BA22"/>
    <mergeCell ref="BB22:BC22"/>
    <mergeCell ref="O20:Q20"/>
    <mergeCell ref="R20:T20"/>
    <mergeCell ref="U20:W20"/>
    <mergeCell ref="AA20:AL20"/>
    <mergeCell ref="AM20:AM22"/>
    <mergeCell ref="AN20:AR20"/>
    <mergeCell ref="AY20:AY22"/>
    <mergeCell ref="B22:Y23"/>
    <mergeCell ref="AA22:AA23"/>
    <mergeCell ref="AB22:AB23"/>
    <mergeCell ref="AC22:AC23"/>
    <mergeCell ref="AD22:AD23"/>
    <mergeCell ref="AE22:AE23"/>
    <mergeCell ref="AF22:AF23"/>
    <mergeCell ref="AA27:AE27"/>
    <mergeCell ref="AA28:AE28"/>
    <mergeCell ref="AF28:AG28"/>
    <mergeCell ref="AH28:AK28"/>
    <mergeCell ref="AL28:AM28"/>
    <mergeCell ref="AN28:AP28"/>
    <mergeCell ref="AQ28:AS28"/>
    <mergeCell ref="AT28:AX28"/>
  </mergeCells>
  <conditionalFormatting sqref="A36 Z36:BT36">
    <cfRule type="notContainsBlanks" dxfId="0" priority="1">
      <formula>LEN(TRIM(A36))&gt;0</formula>
    </cfRule>
  </conditionalFormatting>
  <conditionalFormatting sqref="A1:A36 B1:M1 N1:N21 O1:BB1 BC1:BC5 BD1:BF1 BG1:BG36 BH1:BJ1 BK1:BS5 BT1:BT36 B4:B5 M4:M5 C5:L5 O5:BB5 BD5:BF5 BH5:BJ5 X7:X21 O12:W12 Y12:AM12 AN12:AN19 AO12:AQ12 AR12:AR19 AS12:AX12 AY12:AY36 B16:M16 AV16:AX16 AO18:AQ19 R19:W21 Y19:Y21 Z19:Z36 AA19:AL19 AM19:AM24 AS19:AS24 AT19:AX19 B21:M21 O21:Q21 AA24:AL24 AN24:AR24 AT24:AX24 B36:Y36 AA36:AX36 AZ36:BF36 BH36:BS36">
    <cfRule type="containsBlanks" dxfId="1" priority="2">
      <formula>LEN(TRIM(A1))=0</formula>
    </cfRule>
  </conditionalFormatting>
  <dataValidations>
    <dataValidation type="list" allowBlank="1" showErrorMessage="1" sqref="O20 R20">
      <formula1>"FOR,DES"</formula1>
    </dataValidation>
    <dataValidation type="list" allowBlank="1" showDropDown="1" showErrorMessage="1" sqref="AX15">
      <formula1>"F,D,C,I,S,P"</formula1>
    </dataValidation>
    <dataValidation type="list" allowBlank="1" showErrorMessage="1" sqref="U20">
      <formula1>"FOR,DES,CON,INT,SAB,PRE"</formula1>
    </dataValidation>
    <dataValidation type="list" allowBlank="1" showDropDown="1" showErrorMessage="1" sqref="AH3">
      <formula1>"Lutador,Especialista em Combate,Especialista em Técnica,Suporte,Controlador,Restringido"</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96" t="s">
        <v>132</v>
      </c>
      <c r="D1" s="96" t="s">
        <v>133</v>
      </c>
      <c r="E1" s="96" t="s">
        <v>134</v>
      </c>
      <c r="F1" s="96" t="s">
        <v>135</v>
      </c>
      <c r="G1" s="96" t="s">
        <v>136</v>
      </c>
      <c r="H1" s="96" t="s">
        <v>137</v>
      </c>
    </row>
    <row r="2">
      <c r="C2" s="97">
        <f>'Ficha Pessoal'!L10+12+IF('Ficha Pessoal'!BD3 &gt; 1,(6+'Ficha Pessoal'!L10)*('Ficha Pessoal'!BD3-1), +0)</f>
        <v>12</v>
      </c>
      <c r="D2" s="97">
        <f>'Ficha Pessoal'!L10+12+IF('Ficha Pessoal'!BD3 &gt; 1,(6+'Ficha Pessoal'!L10)*('Ficha Pessoal'!BD3-1), +0)</f>
        <v>12</v>
      </c>
      <c r="E2" s="97">
        <f>'Ficha Pessoal'!L10+10+IF('Ficha Pessoal'!BD3 &gt; 1,(5+'Ficha Pessoal'!L10)*('Ficha Pessoal'!BD3-1), +0)</f>
        <v>10</v>
      </c>
      <c r="F2" s="97">
        <f>IF(F4 &gt;= 1, MAX(Pre,Sab)+10, 'Ficha Pessoal'!L10+10)+IF('Ficha Pessoal'!BD3 &gt; 1, IF(F4 &gt;= 1, (MAX(Pre,Sab)+5)*('Ficha Pessoal'!BD3-1), (5+'Ficha Pessoal'!L10)*('Ficha Pessoal'!BD3-1)), +0)</f>
        <v>10</v>
      </c>
      <c r="G2" s="97">
        <f>'Ficha Pessoal'!L10+10+IF('Ficha Pessoal'!BD3 &gt; 1,(5+'Ficha Pessoal'!L10)*('Ficha Pessoal'!BD3-1), +0)</f>
        <v>10</v>
      </c>
      <c r="H2" s="97">
        <f>'Ficha Pessoal'!L10+16+IF('Ficha Pessoal'!BD3 &gt; 1,(7+'Ficha Pessoal'!L10)*('Ficha Pessoal'!BD3-1), +0)</f>
        <v>16</v>
      </c>
    </row>
    <row r="3">
      <c r="C3" s="81"/>
      <c r="D3" s="81"/>
      <c r="E3" s="81"/>
      <c r="F3" s="81"/>
      <c r="G3" s="81"/>
      <c r="H3" s="81"/>
    </row>
    <row r="4">
      <c r="F4" s="98">
        <f>COUNTIF('Ficha Pessoal'!BH9:BM35, "Físico Controlado")+COUNTIF('Ficha Pessoal'!BH9:BM35, "Fisico Controlado")</f>
        <v>0</v>
      </c>
    </row>
  </sheetData>
  <mergeCells count="6">
    <mergeCell ref="C2:C3"/>
    <mergeCell ref="D2:D3"/>
    <mergeCell ref="E2:E3"/>
    <mergeCell ref="F2:F3"/>
    <mergeCell ref="G2:G3"/>
    <mergeCell ref="H2:H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0" width="3.25"/>
    <col customWidth="1" min="31" max="31" width="9.25"/>
    <col customWidth="1" min="32" max="41" width="3.25"/>
    <col customWidth="1" min="42" max="42" width="9.25"/>
    <col customWidth="1" min="43" max="54" width="3.25"/>
  </cols>
  <sheetData>
    <row r="1">
      <c r="A1" s="24"/>
    </row>
    <row r="2">
      <c r="A2" s="24"/>
      <c r="B2" s="99" t="s">
        <v>138</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5"/>
      <c r="BB2" s="24"/>
    </row>
    <row r="3">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8"/>
      <c r="BB3" s="24"/>
    </row>
    <row r="4">
      <c r="B4" s="24"/>
      <c r="BB4" s="24"/>
    </row>
    <row r="5">
      <c r="B5" s="21" t="s">
        <v>139</v>
      </c>
      <c r="C5" s="10"/>
      <c r="D5" s="10"/>
      <c r="E5" s="10"/>
      <c r="F5" s="10"/>
      <c r="G5" s="10"/>
      <c r="H5" s="10"/>
      <c r="I5" s="11"/>
      <c r="J5" s="7" t="s">
        <v>1</v>
      </c>
      <c r="K5" s="4"/>
      <c r="L5" s="4"/>
      <c r="M5" s="5"/>
      <c r="N5" s="8" t="str">
        <f>'Ficha Pessoal'!S2</f>
        <v/>
      </c>
      <c r="O5" s="4"/>
      <c r="P5" s="4"/>
      <c r="Q5" s="4"/>
      <c r="R5" s="4"/>
      <c r="S5" s="4"/>
      <c r="T5" s="4"/>
      <c r="U5" s="4"/>
      <c r="V5" s="4"/>
      <c r="W5" s="5"/>
      <c r="X5" s="24"/>
      <c r="Y5" s="22" t="s">
        <v>140</v>
      </c>
      <c r="Z5" s="4"/>
      <c r="AA5" s="4"/>
      <c r="AB5" s="4"/>
      <c r="AC5" s="4"/>
      <c r="AD5" s="4"/>
      <c r="AE5" s="4"/>
      <c r="AF5" s="4"/>
      <c r="AG5" s="4"/>
      <c r="AH5" s="4"/>
      <c r="AI5" s="4"/>
      <c r="AJ5" s="4"/>
      <c r="AK5" s="4"/>
      <c r="AL5" s="4"/>
      <c r="AM5" s="4"/>
      <c r="AN5" s="4"/>
      <c r="AO5" s="4"/>
      <c r="AP5" s="4"/>
      <c r="AQ5" s="4"/>
      <c r="AR5" s="4"/>
      <c r="AS5" s="4"/>
      <c r="AT5" s="4"/>
      <c r="AU5" s="4"/>
      <c r="AV5" s="4"/>
      <c r="AW5" s="4"/>
      <c r="AX5" s="4"/>
      <c r="AY5" s="4"/>
      <c r="AZ5" s="4"/>
      <c r="BA5" s="5"/>
      <c r="BB5" s="24"/>
    </row>
    <row r="6">
      <c r="B6" s="100"/>
      <c r="C6" s="4"/>
      <c r="D6" s="4"/>
      <c r="E6" s="4"/>
      <c r="F6" s="4"/>
      <c r="G6" s="4"/>
      <c r="H6" s="4"/>
      <c r="I6" s="5"/>
      <c r="J6" s="16"/>
      <c r="K6" s="17"/>
      <c r="L6" s="17"/>
      <c r="M6" s="18"/>
      <c r="N6" s="16"/>
      <c r="O6" s="17"/>
      <c r="P6" s="17"/>
      <c r="Q6" s="17"/>
      <c r="R6" s="17"/>
      <c r="S6" s="17"/>
      <c r="T6" s="17"/>
      <c r="U6" s="17"/>
      <c r="V6" s="17"/>
      <c r="W6" s="18"/>
      <c r="Y6" s="16"/>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8"/>
      <c r="BB6" s="24"/>
    </row>
    <row r="7">
      <c r="B7" s="36"/>
      <c r="I7" s="37"/>
      <c r="J7" s="21" t="s">
        <v>141</v>
      </c>
      <c r="K7" s="10"/>
      <c r="L7" s="10"/>
      <c r="M7" s="11"/>
      <c r="N7" s="101"/>
      <c r="O7" s="10"/>
      <c r="P7" s="10"/>
      <c r="Q7" s="10"/>
      <c r="R7" s="10"/>
      <c r="S7" s="10"/>
      <c r="T7" s="10"/>
      <c r="U7" s="10"/>
      <c r="V7" s="10"/>
      <c r="W7" s="11"/>
      <c r="Y7" s="21" t="s">
        <v>142</v>
      </c>
      <c r="Z7" s="10"/>
      <c r="AA7" s="10"/>
      <c r="AB7" s="10"/>
      <c r="AC7" s="10"/>
      <c r="AD7" s="10"/>
      <c r="AE7" s="10"/>
      <c r="AF7" s="11"/>
      <c r="AG7" s="53" t="s">
        <v>143</v>
      </c>
      <c r="AH7" s="11"/>
      <c r="AI7" s="53" t="s">
        <v>144</v>
      </c>
      <c r="AJ7" s="11"/>
      <c r="AK7" s="53" t="s">
        <v>145</v>
      </c>
      <c r="AL7" s="11"/>
      <c r="AM7" s="102"/>
      <c r="AN7" s="21" t="s">
        <v>142</v>
      </c>
      <c r="AO7" s="10"/>
      <c r="AP7" s="10"/>
      <c r="AQ7" s="10"/>
      <c r="AR7" s="10"/>
      <c r="AS7" s="10"/>
      <c r="AT7" s="10"/>
      <c r="AU7" s="11"/>
      <c r="AV7" s="53" t="s">
        <v>143</v>
      </c>
      <c r="AW7" s="11"/>
      <c r="AX7" s="53" t="s">
        <v>144</v>
      </c>
      <c r="AY7" s="11"/>
      <c r="AZ7" s="53" t="s">
        <v>145</v>
      </c>
      <c r="BA7" s="11"/>
      <c r="BB7" s="24"/>
    </row>
    <row r="8">
      <c r="B8" s="36"/>
      <c r="I8" s="37"/>
      <c r="J8" s="21" t="s">
        <v>146</v>
      </c>
      <c r="K8" s="10"/>
      <c r="L8" s="10"/>
      <c r="M8" s="11"/>
      <c r="N8" s="101"/>
      <c r="O8" s="10"/>
      <c r="P8" s="10"/>
      <c r="Q8" s="10"/>
      <c r="R8" s="10"/>
      <c r="S8" s="10"/>
      <c r="T8" s="10"/>
      <c r="U8" s="10"/>
      <c r="V8" s="10"/>
      <c r="W8" s="11"/>
      <c r="Y8" s="103"/>
      <c r="Z8" s="10"/>
      <c r="AA8" s="10"/>
      <c r="AB8" s="10"/>
      <c r="AC8" s="10"/>
      <c r="AD8" s="10"/>
      <c r="AE8" s="10"/>
      <c r="AF8" s="11"/>
      <c r="AG8" s="12"/>
      <c r="AH8" s="11"/>
      <c r="AI8" s="12"/>
      <c r="AJ8" s="11"/>
      <c r="AK8" s="12"/>
      <c r="AL8" s="11"/>
      <c r="AN8" s="103"/>
      <c r="AO8" s="10"/>
      <c r="AP8" s="10"/>
      <c r="AQ8" s="10"/>
      <c r="AR8" s="10"/>
      <c r="AS8" s="10"/>
      <c r="AT8" s="10"/>
      <c r="AU8" s="11"/>
      <c r="AV8" s="12"/>
      <c r="AW8" s="11"/>
      <c r="AX8" s="12"/>
      <c r="AY8" s="11"/>
      <c r="AZ8" s="12"/>
      <c r="BA8" s="11"/>
      <c r="BB8" s="104">
        <f t="shared" ref="BB8:BB32" si="1">SUM(PRODUCT(AG8,AI8),PRODUCT(AV8,AX8))</f>
        <v>0</v>
      </c>
    </row>
    <row r="9">
      <c r="B9" s="36"/>
      <c r="I9" s="37"/>
      <c r="J9" s="21" t="s">
        <v>144</v>
      </c>
      <c r="K9" s="10"/>
      <c r="L9" s="10"/>
      <c r="M9" s="11"/>
      <c r="N9" s="101"/>
      <c r="O9" s="10"/>
      <c r="P9" s="10"/>
      <c r="Q9" s="10"/>
      <c r="R9" s="10"/>
      <c r="S9" s="10"/>
      <c r="T9" s="10"/>
      <c r="U9" s="10"/>
      <c r="V9" s="10"/>
      <c r="W9" s="11"/>
      <c r="Y9" s="103"/>
      <c r="Z9" s="10"/>
      <c r="AA9" s="10"/>
      <c r="AB9" s="10"/>
      <c r="AC9" s="10"/>
      <c r="AD9" s="10"/>
      <c r="AE9" s="10"/>
      <c r="AF9" s="11"/>
      <c r="AG9" s="12"/>
      <c r="AH9" s="11"/>
      <c r="AI9" s="12"/>
      <c r="AJ9" s="11"/>
      <c r="AK9" s="12"/>
      <c r="AL9" s="11"/>
      <c r="AN9" s="103"/>
      <c r="AO9" s="10"/>
      <c r="AP9" s="10"/>
      <c r="AQ9" s="10"/>
      <c r="AR9" s="10"/>
      <c r="AS9" s="10"/>
      <c r="AT9" s="10"/>
      <c r="AU9" s="11"/>
      <c r="AV9" s="12"/>
      <c r="AW9" s="11"/>
      <c r="AX9" s="12"/>
      <c r="AY9" s="11"/>
      <c r="AZ9" s="12"/>
      <c r="BA9" s="11"/>
      <c r="BB9" s="104">
        <f t="shared" si="1"/>
        <v>0</v>
      </c>
    </row>
    <row r="10">
      <c r="B10" s="36"/>
      <c r="I10" s="37"/>
      <c r="J10" s="21" t="s">
        <v>147</v>
      </c>
      <c r="K10" s="10"/>
      <c r="L10" s="10"/>
      <c r="M10" s="11"/>
      <c r="N10" s="101"/>
      <c r="O10" s="10"/>
      <c r="P10" s="10"/>
      <c r="Q10" s="10"/>
      <c r="R10" s="10"/>
      <c r="S10" s="10"/>
      <c r="T10" s="10"/>
      <c r="U10" s="10"/>
      <c r="V10" s="10"/>
      <c r="W10" s="11"/>
      <c r="Y10" s="103"/>
      <c r="Z10" s="10"/>
      <c r="AA10" s="10"/>
      <c r="AB10" s="10"/>
      <c r="AC10" s="10"/>
      <c r="AD10" s="10"/>
      <c r="AE10" s="10"/>
      <c r="AF10" s="11"/>
      <c r="AG10" s="12"/>
      <c r="AH10" s="11"/>
      <c r="AI10" s="12"/>
      <c r="AJ10" s="11"/>
      <c r="AK10" s="12"/>
      <c r="AL10" s="11"/>
      <c r="AN10" s="103"/>
      <c r="AO10" s="10"/>
      <c r="AP10" s="10"/>
      <c r="AQ10" s="10"/>
      <c r="AR10" s="10"/>
      <c r="AS10" s="10"/>
      <c r="AT10" s="10"/>
      <c r="AU10" s="11"/>
      <c r="AV10" s="12"/>
      <c r="AW10" s="11"/>
      <c r="AX10" s="12"/>
      <c r="AY10" s="11"/>
      <c r="AZ10" s="12"/>
      <c r="BA10" s="11"/>
      <c r="BB10" s="104">
        <f t="shared" si="1"/>
        <v>0</v>
      </c>
    </row>
    <row r="11">
      <c r="B11" s="36"/>
      <c r="I11" s="37"/>
      <c r="J11" s="21" t="s">
        <v>148</v>
      </c>
      <c r="K11" s="10"/>
      <c r="L11" s="10"/>
      <c r="M11" s="11"/>
      <c r="N11" s="101"/>
      <c r="O11" s="10"/>
      <c r="P11" s="10"/>
      <c r="Q11" s="10"/>
      <c r="R11" s="10"/>
      <c r="S11" s="10"/>
      <c r="T11" s="10"/>
      <c r="U11" s="10"/>
      <c r="V11" s="10"/>
      <c r="W11" s="11"/>
      <c r="Y11" s="103"/>
      <c r="Z11" s="10"/>
      <c r="AA11" s="10"/>
      <c r="AB11" s="10"/>
      <c r="AC11" s="10"/>
      <c r="AD11" s="10"/>
      <c r="AE11" s="10"/>
      <c r="AF11" s="11"/>
      <c r="AG11" s="12"/>
      <c r="AH11" s="11"/>
      <c r="AI11" s="12"/>
      <c r="AJ11" s="11"/>
      <c r="AK11" s="12"/>
      <c r="AL11" s="11"/>
      <c r="AN11" s="103"/>
      <c r="AO11" s="10"/>
      <c r="AP11" s="10"/>
      <c r="AQ11" s="10"/>
      <c r="AR11" s="10"/>
      <c r="AS11" s="10"/>
      <c r="AT11" s="10"/>
      <c r="AU11" s="11"/>
      <c r="AV11" s="12"/>
      <c r="AW11" s="11"/>
      <c r="AX11" s="12"/>
      <c r="AY11" s="11"/>
      <c r="AZ11" s="12"/>
      <c r="BA11" s="11"/>
      <c r="BB11" s="104">
        <f t="shared" si="1"/>
        <v>0</v>
      </c>
    </row>
    <row r="12">
      <c r="B12" s="36"/>
      <c r="I12" s="37"/>
      <c r="J12" s="21" t="s">
        <v>149</v>
      </c>
      <c r="K12" s="10"/>
      <c r="L12" s="10"/>
      <c r="M12" s="11"/>
      <c r="N12" s="101"/>
      <c r="O12" s="10"/>
      <c r="P12" s="10"/>
      <c r="Q12" s="10"/>
      <c r="R12" s="10"/>
      <c r="S12" s="10"/>
      <c r="T12" s="10"/>
      <c r="U12" s="10"/>
      <c r="V12" s="10"/>
      <c r="W12" s="11"/>
      <c r="Y12" s="103"/>
      <c r="Z12" s="10"/>
      <c r="AA12" s="10"/>
      <c r="AB12" s="10"/>
      <c r="AC12" s="10"/>
      <c r="AD12" s="10"/>
      <c r="AE12" s="10"/>
      <c r="AF12" s="11"/>
      <c r="AG12" s="12"/>
      <c r="AH12" s="11"/>
      <c r="AI12" s="12"/>
      <c r="AJ12" s="11"/>
      <c r="AK12" s="12"/>
      <c r="AL12" s="11"/>
      <c r="AN12" s="103"/>
      <c r="AO12" s="10"/>
      <c r="AP12" s="10"/>
      <c r="AQ12" s="10"/>
      <c r="AR12" s="10"/>
      <c r="AS12" s="10"/>
      <c r="AT12" s="10"/>
      <c r="AU12" s="11"/>
      <c r="AV12" s="12"/>
      <c r="AW12" s="11"/>
      <c r="AX12" s="12"/>
      <c r="AY12" s="11"/>
      <c r="AZ12" s="12"/>
      <c r="BA12" s="11"/>
      <c r="BB12" s="104">
        <f t="shared" si="1"/>
        <v>0</v>
      </c>
    </row>
    <row r="13">
      <c r="B13" s="36"/>
      <c r="I13" s="37"/>
      <c r="J13" s="21" t="s">
        <v>150</v>
      </c>
      <c r="K13" s="10"/>
      <c r="L13" s="10"/>
      <c r="M13" s="11"/>
      <c r="N13" s="101"/>
      <c r="O13" s="10"/>
      <c r="P13" s="10"/>
      <c r="Q13" s="10"/>
      <c r="R13" s="10"/>
      <c r="S13" s="10"/>
      <c r="T13" s="10"/>
      <c r="U13" s="10"/>
      <c r="V13" s="10"/>
      <c r="W13" s="11"/>
      <c r="Y13" s="103"/>
      <c r="Z13" s="10"/>
      <c r="AA13" s="10"/>
      <c r="AB13" s="10"/>
      <c r="AC13" s="10"/>
      <c r="AD13" s="10"/>
      <c r="AE13" s="10"/>
      <c r="AF13" s="11"/>
      <c r="AG13" s="12"/>
      <c r="AH13" s="11"/>
      <c r="AI13" s="12"/>
      <c r="AJ13" s="11"/>
      <c r="AK13" s="12"/>
      <c r="AL13" s="11"/>
      <c r="AN13" s="103"/>
      <c r="AO13" s="10"/>
      <c r="AP13" s="10"/>
      <c r="AQ13" s="10"/>
      <c r="AR13" s="10"/>
      <c r="AS13" s="10"/>
      <c r="AT13" s="10"/>
      <c r="AU13" s="11"/>
      <c r="AV13" s="12"/>
      <c r="AW13" s="11"/>
      <c r="AX13" s="12"/>
      <c r="AY13" s="11"/>
      <c r="AZ13" s="12"/>
      <c r="BA13" s="11"/>
      <c r="BB13" s="104">
        <f t="shared" si="1"/>
        <v>0</v>
      </c>
    </row>
    <row r="14">
      <c r="B14" s="36"/>
      <c r="I14" s="37"/>
      <c r="J14" s="21" t="s">
        <v>151</v>
      </c>
      <c r="K14" s="10"/>
      <c r="L14" s="10"/>
      <c r="M14" s="11"/>
      <c r="N14" s="101"/>
      <c r="O14" s="10"/>
      <c r="P14" s="10"/>
      <c r="Q14" s="10"/>
      <c r="R14" s="10"/>
      <c r="S14" s="10"/>
      <c r="T14" s="10"/>
      <c r="U14" s="10"/>
      <c r="V14" s="10"/>
      <c r="W14" s="11"/>
      <c r="Y14" s="103"/>
      <c r="Z14" s="10"/>
      <c r="AA14" s="10"/>
      <c r="AB14" s="10"/>
      <c r="AC14" s="10"/>
      <c r="AD14" s="10"/>
      <c r="AE14" s="10"/>
      <c r="AF14" s="11"/>
      <c r="AG14" s="12"/>
      <c r="AH14" s="11"/>
      <c r="AI14" s="12"/>
      <c r="AJ14" s="11"/>
      <c r="AK14" s="12"/>
      <c r="AL14" s="11"/>
      <c r="AN14" s="103"/>
      <c r="AO14" s="10"/>
      <c r="AP14" s="10"/>
      <c r="AQ14" s="10"/>
      <c r="AR14" s="10"/>
      <c r="AS14" s="10"/>
      <c r="AT14" s="10"/>
      <c r="AU14" s="11"/>
      <c r="AV14" s="12"/>
      <c r="AW14" s="11"/>
      <c r="AX14" s="12"/>
      <c r="AY14" s="11"/>
      <c r="AZ14" s="12"/>
      <c r="BA14" s="11"/>
      <c r="BB14" s="104">
        <f t="shared" si="1"/>
        <v>0</v>
      </c>
    </row>
    <row r="15">
      <c r="B15" s="16"/>
      <c r="C15" s="17"/>
      <c r="D15" s="17"/>
      <c r="E15" s="17"/>
      <c r="F15" s="17"/>
      <c r="G15" s="17"/>
      <c r="H15" s="17"/>
      <c r="I15" s="18"/>
      <c r="J15" s="21" t="s">
        <v>152</v>
      </c>
      <c r="K15" s="10"/>
      <c r="L15" s="10"/>
      <c r="M15" s="11"/>
      <c r="N15" s="101"/>
      <c r="O15" s="10"/>
      <c r="P15" s="10"/>
      <c r="Q15" s="10"/>
      <c r="R15" s="10"/>
      <c r="S15" s="10"/>
      <c r="T15" s="10"/>
      <c r="U15" s="10"/>
      <c r="V15" s="10"/>
      <c r="W15" s="11"/>
      <c r="Y15" s="103"/>
      <c r="Z15" s="10"/>
      <c r="AA15" s="10"/>
      <c r="AB15" s="10"/>
      <c r="AC15" s="10"/>
      <c r="AD15" s="10"/>
      <c r="AE15" s="10"/>
      <c r="AF15" s="11"/>
      <c r="AG15" s="12"/>
      <c r="AH15" s="11"/>
      <c r="AI15" s="12"/>
      <c r="AJ15" s="11"/>
      <c r="AK15" s="12"/>
      <c r="AL15" s="11"/>
      <c r="AN15" s="103"/>
      <c r="AO15" s="10"/>
      <c r="AP15" s="10"/>
      <c r="AQ15" s="10"/>
      <c r="AR15" s="10"/>
      <c r="AS15" s="10"/>
      <c r="AT15" s="10"/>
      <c r="AU15" s="11"/>
      <c r="AV15" s="12"/>
      <c r="AW15" s="11"/>
      <c r="AX15" s="12"/>
      <c r="AY15" s="11"/>
      <c r="AZ15" s="12"/>
      <c r="BA15" s="11"/>
      <c r="BB15" s="104">
        <f t="shared" si="1"/>
        <v>0</v>
      </c>
    </row>
    <row r="16">
      <c r="B16" s="21" t="s">
        <v>153</v>
      </c>
      <c r="C16" s="10"/>
      <c r="D16" s="10"/>
      <c r="E16" s="10"/>
      <c r="F16" s="10"/>
      <c r="G16" s="10"/>
      <c r="H16" s="10"/>
      <c r="I16" s="10"/>
      <c r="J16" s="10"/>
      <c r="K16" s="10"/>
      <c r="L16" s="10"/>
      <c r="M16" s="10"/>
      <c r="N16" s="10"/>
      <c r="O16" s="10"/>
      <c r="P16" s="10"/>
      <c r="Q16" s="10"/>
      <c r="R16" s="10"/>
      <c r="S16" s="10"/>
      <c r="T16" s="10"/>
      <c r="U16" s="10"/>
      <c r="V16" s="10"/>
      <c r="W16" s="11"/>
      <c r="Y16" s="103"/>
      <c r="Z16" s="10"/>
      <c r="AA16" s="10"/>
      <c r="AB16" s="10"/>
      <c r="AC16" s="10"/>
      <c r="AD16" s="10"/>
      <c r="AE16" s="10"/>
      <c r="AF16" s="11"/>
      <c r="AG16" s="12"/>
      <c r="AH16" s="11"/>
      <c r="AI16" s="12"/>
      <c r="AJ16" s="11"/>
      <c r="AK16" s="12"/>
      <c r="AL16" s="11"/>
      <c r="AN16" s="103"/>
      <c r="AO16" s="10"/>
      <c r="AP16" s="10"/>
      <c r="AQ16" s="10"/>
      <c r="AR16" s="10"/>
      <c r="AS16" s="10"/>
      <c r="AT16" s="10"/>
      <c r="AU16" s="11"/>
      <c r="AV16" s="12"/>
      <c r="AW16" s="11"/>
      <c r="AX16" s="12"/>
      <c r="AY16" s="11"/>
      <c r="AZ16" s="12"/>
      <c r="BA16" s="11"/>
      <c r="BB16" s="104">
        <f t="shared" si="1"/>
        <v>0</v>
      </c>
    </row>
    <row r="17">
      <c r="B17" s="105"/>
      <c r="C17" s="4"/>
      <c r="D17" s="4"/>
      <c r="E17" s="4"/>
      <c r="F17" s="4"/>
      <c r="G17" s="4"/>
      <c r="H17" s="4"/>
      <c r="I17" s="4"/>
      <c r="J17" s="4"/>
      <c r="K17" s="4"/>
      <c r="L17" s="4"/>
      <c r="M17" s="4"/>
      <c r="N17" s="4"/>
      <c r="O17" s="4"/>
      <c r="P17" s="4"/>
      <c r="Q17" s="4"/>
      <c r="R17" s="4"/>
      <c r="S17" s="4"/>
      <c r="T17" s="4"/>
      <c r="U17" s="4"/>
      <c r="V17" s="4"/>
      <c r="W17" s="5"/>
      <c r="Y17" s="103"/>
      <c r="Z17" s="10"/>
      <c r="AA17" s="10"/>
      <c r="AB17" s="10"/>
      <c r="AC17" s="10"/>
      <c r="AD17" s="10"/>
      <c r="AE17" s="10"/>
      <c r="AF17" s="11"/>
      <c r="AG17" s="12"/>
      <c r="AH17" s="11"/>
      <c r="AI17" s="12"/>
      <c r="AJ17" s="11"/>
      <c r="AK17" s="12"/>
      <c r="AL17" s="11"/>
      <c r="AN17" s="103"/>
      <c r="AO17" s="10"/>
      <c r="AP17" s="10"/>
      <c r="AQ17" s="10"/>
      <c r="AR17" s="10"/>
      <c r="AS17" s="10"/>
      <c r="AT17" s="10"/>
      <c r="AU17" s="11"/>
      <c r="AV17" s="12"/>
      <c r="AW17" s="11"/>
      <c r="AX17" s="12"/>
      <c r="AY17" s="11"/>
      <c r="AZ17" s="12"/>
      <c r="BA17" s="11"/>
      <c r="BB17" s="104">
        <f t="shared" si="1"/>
        <v>0</v>
      </c>
    </row>
    <row r="18">
      <c r="B18" s="36"/>
      <c r="W18" s="37"/>
      <c r="Y18" s="103"/>
      <c r="Z18" s="10"/>
      <c r="AA18" s="10"/>
      <c r="AB18" s="10"/>
      <c r="AC18" s="10"/>
      <c r="AD18" s="10"/>
      <c r="AE18" s="10"/>
      <c r="AF18" s="11"/>
      <c r="AG18" s="12"/>
      <c r="AH18" s="11"/>
      <c r="AI18" s="12"/>
      <c r="AJ18" s="11"/>
      <c r="AK18" s="12"/>
      <c r="AL18" s="11"/>
      <c r="AN18" s="103"/>
      <c r="AO18" s="10"/>
      <c r="AP18" s="10"/>
      <c r="AQ18" s="10"/>
      <c r="AR18" s="10"/>
      <c r="AS18" s="10"/>
      <c r="AT18" s="10"/>
      <c r="AU18" s="11"/>
      <c r="AV18" s="12"/>
      <c r="AW18" s="11"/>
      <c r="AX18" s="12"/>
      <c r="AY18" s="11"/>
      <c r="AZ18" s="12"/>
      <c r="BA18" s="11"/>
      <c r="BB18" s="104">
        <f t="shared" si="1"/>
        <v>0</v>
      </c>
    </row>
    <row r="19">
      <c r="B19" s="16"/>
      <c r="C19" s="17"/>
      <c r="D19" s="17"/>
      <c r="E19" s="17"/>
      <c r="F19" s="17"/>
      <c r="G19" s="17"/>
      <c r="H19" s="17"/>
      <c r="I19" s="17"/>
      <c r="J19" s="17"/>
      <c r="K19" s="17"/>
      <c r="L19" s="17"/>
      <c r="M19" s="17"/>
      <c r="N19" s="17"/>
      <c r="O19" s="17"/>
      <c r="P19" s="17"/>
      <c r="Q19" s="17"/>
      <c r="R19" s="17"/>
      <c r="S19" s="17"/>
      <c r="T19" s="17"/>
      <c r="U19" s="17"/>
      <c r="V19" s="17"/>
      <c r="W19" s="18"/>
      <c r="Y19" s="103"/>
      <c r="Z19" s="10"/>
      <c r="AA19" s="10"/>
      <c r="AB19" s="10"/>
      <c r="AC19" s="10"/>
      <c r="AD19" s="10"/>
      <c r="AE19" s="10"/>
      <c r="AF19" s="11"/>
      <c r="AG19" s="12"/>
      <c r="AH19" s="11"/>
      <c r="AI19" s="12"/>
      <c r="AJ19" s="11"/>
      <c r="AK19" s="12"/>
      <c r="AL19" s="11"/>
      <c r="AN19" s="103"/>
      <c r="AO19" s="10"/>
      <c r="AP19" s="10"/>
      <c r="AQ19" s="10"/>
      <c r="AR19" s="10"/>
      <c r="AS19" s="10"/>
      <c r="AT19" s="10"/>
      <c r="AU19" s="11"/>
      <c r="AV19" s="12"/>
      <c r="AW19" s="11"/>
      <c r="AX19" s="12"/>
      <c r="AY19" s="11"/>
      <c r="AZ19" s="12"/>
      <c r="BA19" s="11"/>
      <c r="BB19" s="104">
        <f t="shared" si="1"/>
        <v>0</v>
      </c>
    </row>
    <row r="20">
      <c r="B20" s="21" t="s">
        <v>154</v>
      </c>
      <c r="C20" s="10"/>
      <c r="D20" s="10"/>
      <c r="E20" s="10"/>
      <c r="F20" s="10"/>
      <c r="G20" s="10"/>
      <c r="H20" s="10"/>
      <c r="I20" s="10"/>
      <c r="J20" s="10"/>
      <c r="K20" s="10"/>
      <c r="L20" s="10"/>
      <c r="M20" s="10"/>
      <c r="N20" s="10"/>
      <c r="O20" s="10"/>
      <c r="P20" s="10"/>
      <c r="Q20" s="10"/>
      <c r="R20" s="10"/>
      <c r="S20" s="10"/>
      <c r="T20" s="10"/>
      <c r="U20" s="10"/>
      <c r="V20" s="10"/>
      <c r="W20" s="11"/>
      <c r="Y20" s="103"/>
      <c r="Z20" s="10"/>
      <c r="AA20" s="10"/>
      <c r="AB20" s="10"/>
      <c r="AC20" s="10"/>
      <c r="AD20" s="10"/>
      <c r="AE20" s="10"/>
      <c r="AF20" s="11"/>
      <c r="AG20" s="12"/>
      <c r="AH20" s="11"/>
      <c r="AI20" s="12"/>
      <c r="AJ20" s="11"/>
      <c r="AK20" s="12"/>
      <c r="AL20" s="11"/>
      <c r="AN20" s="103"/>
      <c r="AO20" s="10"/>
      <c r="AP20" s="10"/>
      <c r="AQ20" s="10"/>
      <c r="AR20" s="10"/>
      <c r="AS20" s="10"/>
      <c r="AT20" s="10"/>
      <c r="AU20" s="11"/>
      <c r="AV20" s="12"/>
      <c r="AW20" s="11"/>
      <c r="AX20" s="12"/>
      <c r="AY20" s="11"/>
      <c r="AZ20" s="12"/>
      <c r="BA20" s="11"/>
      <c r="BB20" s="104">
        <f t="shared" si="1"/>
        <v>0</v>
      </c>
    </row>
    <row r="21">
      <c r="B21" s="105"/>
      <c r="C21" s="4"/>
      <c r="D21" s="4"/>
      <c r="E21" s="4"/>
      <c r="F21" s="4"/>
      <c r="G21" s="4"/>
      <c r="H21" s="4"/>
      <c r="I21" s="4"/>
      <c r="J21" s="4"/>
      <c r="K21" s="4"/>
      <c r="L21" s="4"/>
      <c r="M21" s="4"/>
      <c r="N21" s="4"/>
      <c r="O21" s="4"/>
      <c r="P21" s="4"/>
      <c r="Q21" s="4"/>
      <c r="R21" s="4"/>
      <c r="S21" s="4"/>
      <c r="T21" s="4"/>
      <c r="U21" s="4"/>
      <c r="V21" s="4"/>
      <c r="W21" s="5"/>
      <c r="Y21" s="103"/>
      <c r="Z21" s="10"/>
      <c r="AA21" s="10"/>
      <c r="AB21" s="10"/>
      <c r="AC21" s="10"/>
      <c r="AD21" s="10"/>
      <c r="AE21" s="10"/>
      <c r="AF21" s="11"/>
      <c r="AG21" s="12"/>
      <c r="AH21" s="11"/>
      <c r="AI21" s="12"/>
      <c r="AJ21" s="11"/>
      <c r="AK21" s="12"/>
      <c r="AL21" s="11"/>
      <c r="AN21" s="103"/>
      <c r="AO21" s="10"/>
      <c r="AP21" s="10"/>
      <c r="AQ21" s="10"/>
      <c r="AR21" s="10"/>
      <c r="AS21" s="10"/>
      <c r="AT21" s="10"/>
      <c r="AU21" s="11"/>
      <c r="AV21" s="12"/>
      <c r="AW21" s="11"/>
      <c r="AX21" s="12"/>
      <c r="AY21" s="11"/>
      <c r="AZ21" s="12"/>
      <c r="BA21" s="11"/>
      <c r="BB21" s="104">
        <f t="shared" si="1"/>
        <v>0</v>
      </c>
    </row>
    <row r="22">
      <c r="B22" s="36"/>
      <c r="W22" s="37"/>
      <c r="Y22" s="103"/>
      <c r="Z22" s="10"/>
      <c r="AA22" s="10"/>
      <c r="AB22" s="10"/>
      <c r="AC22" s="10"/>
      <c r="AD22" s="10"/>
      <c r="AE22" s="10"/>
      <c r="AF22" s="11"/>
      <c r="AG22" s="12"/>
      <c r="AH22" s="11"/>
      <c r="AI22" s="12"/>
      <c r="AJ22" s="11"/>
      <c r="AK22" s="12"/>
      <c r="AL22" s="11"/>
      <c r="AN22" s="103"/>
      <c r="AO22" s="10"/>
      <c r="AP22" s="10"/>
      <c r="AQ22" s="10"/>
      <c r="AR22" s="10"/>
      <c r="AS22" s="10"/>
      <c r="AT22" s="10"/>
      <c r="AU22" s="11"/>
      <c r="AV22" s="12"/>
      <c r="AW22" s="11"/>
      <c r="AX22" s="12"/>
      <c r="AY22" s="11"/>
      <c r="AZ22" s="12"/>
      <c r="BA22" s="11"/>
      <c r="BB22" s="104">
        <f t="shared" si="1"/>
        <v>0</v>
      </c>
    </row>
    <row r="23">
      <c r="B23" s="16"/>
      <c r="C23" s="17"/>
      <c r="D23" s="17"/>
      <c r="E23" s="17"/>
      <c r="F23" s="17"/>
      <c r="G23" s="17"/>
      <c r="H23" s="17"/>
      <c r="I23" s="17"/>
      <c r="J23" s="17"/>
      <c r="K23" s="17"/>
      <c r="L23" s="17"/>
      <c r="M23" s="17"/>
      <c r="N23" s="17"/>
      <c r="O23" s="17"/>
      <c r="P23" s="17"/>
      <c r="Q23" s="17"/>
      <c r="R23" s="17"/>
      <c r="S23" s="17"/>
      <c r="T23" s="17"/>
      <c r="U23" s="17"/>
      <c r="V23" s="17"/>
      <c r="W23" s="18"/>
      <c r="Y23" s="103"/>
      <c r="Z23" s="10"/>
      <c r="AA23" s="10"/>
      <c r="AB23" s="10"/>
      <c r="AC23" s="10"/>
      <c r="AD23" s="10"/>
      <c r="AE23" s="10"/>
      <c r="AF23" s="11"/>
      <c r="AG23" s="12"/>
      <c r="AH23" s="11"/>
      <c r="AI23" s="12"/>
      <c r="AJ23" s="11"/>
      <c r="AK23" s="12"/>
      <c r="AL23" s="11"/>
      <c r="AN23" s="103"/>
      <c r="AO23" s="10"/>
      <c r="AP23" s="10"/>
      <c r="AQ23" s="10"/>
      <c r="AR23" s="10"/>
      <c r="AS23" s="10"/>
      <c r="AT23" s="10"/>
      <c r="AU23" s="11"/>
      <c r="AV23" s="12"/>
      <c r="AW23" s="11"/>
      <c r="AX23" s="12"/>
      <c r="AY23" s="11"/>
      <c r="AZ23" s="12"/>
      <c r="BA23" s="11"/>
      <c r="BB23" s="104">
        <f t="shared" si="1"/>
        <v>0</v>
      </c>
    </row>
    <row r="24">
      <c r="B24" s="21" t="s">
        <v>155</v>
      </c>
      <c r="C24" s="10"/>
      <c r="D24" s="10"/>
      <c r="E24" s="10"/>
      <c r="F24" s="10"/>
      <c r="G24" s="10"/>
      <c r="H24" s="10"/>
      <c r="I24" s="10"/>
      <c r="J24" s="10"/>
      <c r="K24" s="10"/>
      <c r="L24" s="10"/>
      <c r="M24" s="10"/>
      <c r="N24" s="10"/>
      <c r="O24" s="10"/>
      <c r="P24" s="10"/>
      <c r="Q24" s="10"/>
      <c r="R24" s="10"/>
      <c r="S24" s="10"/>
      <c r="T24" s="10"/>
      <c r="U24" s="10"/>
      <c r="V24" s="10"/>
      <c r="W24" s="11"/>
      <c r="Y24" s="103"/>
      <c r="Z24" s="10"/>
      <c r="AA24" s="10"/>
      <c r="AB24" s="10"/>
      <c r="AC24" s="10"/>
      <c r="AD24" s="10"/>
      <c r="AE24" s="10"/>
      <c r="AF24" s="11"/>
      <c r="AG24" s="12"/>
      <c r="AH24" s="11"/>
      <c r="AI24" s="12"/>
      <c r="AJ24" s="11"/>
      <c r="AK24" s="12"/>
      <c r="AL24" s="11"/>
      <c r="AN24" s="103"/>
      <c r="AO24" s="10"/>
      <c r="AP24" s="10"/>
      <c r="AQ24" s="10"/>
      <c r="AR24" s="10"/>
      <c r="AS24" s="10"/>
      <c r="AT24" s="10"/>
      <c r="AU24" s="11"/>
      <c r="AV24" s="12"/>
      <c r="AW24" s="11"/>
      <c r="AX24" s="12"/>
      <c r="AY24" s="11"/>
      <c r="AZ24" s="12"/>
      <c r="BA24" s="11"/>
      <c r="BB24" s="104">
        <f t="shared" si="1"/>
        <v>0</v>
      </c>
    </row>
    <row r="25">
      <c r="B25" s="105"/>
      <c r="C25" s="4"/>
      <c r="D25" s="4"/>
      <c r="E25" s="4"/>
      <c r="F25" s="4"/>
      <c r="G25" s="4"/>
      <c r="H25" s="4"/>
      <c r="I25" s="4"/>
      <c r="J25" s="4"/>
      <c r="K25" s="4"/>
      <c r="L25" s="4"/>
      <c r="M25" s="4"/>
      <c r="N25" s="4"/>
      <c r="O25" s="4"/>
      <c r="P25" s="4"/>
      <c r="Q25" s="4"/>
      <c r="R25" s="4"/>
      <c r="S25" s="4"/>
      <c r="T25" s="4"/>
      <c r="U25" s="4"/>
      <c r="V25" s="4"/>
      <c r="W25" s="5"/>
      <c r="Y25" s="103"/>
      <c r="Z25" s="10"/>
      <c r="AA25" s="10"/>
      <c r="AB25" s="10"/>
      <c r="AC25" s="10"/>
      <c r="AD25" s="10"/>
      <c r="AE25" s="10"/>
      <c r="AF25" s="11"/>
      <c r="AG25" s="12"/>
      <c r="AH25" s="11"/>
      <c r="AI25" s="12"/>
      <c r="AJ25" s="11"/>
      <c r="AK25" s="12"/>
      <c r="AL25" s="11"/>
      <c r="AN25" s="103"/>
      <c r="AO25" s="10"/>
      <c r="AP25" s="10"/>
      <c r="AQ25" s="10"/>
      <c r="AR25" s="10"/>
      <c r="AS25" s="10"/>
      <c r="AT25" s="10"/>
      <c r="AU25" s="11"/>
      <c r="AV25" s="12"/>
      <c r="AW25" s="11"/>
      <c r="AX25" s="12"/>
      <c r="AY25" s="11"/>
      <c r="AZ25" s="12"/>
      <c r="BA25" s="11"/>
      <c r="BB25" s="104">
        <f t="shared" si="1"/>
        <v>0</v>
      </c>
    </row>
    <row r="26">
      <c r="B26" s="36"/>
      <c r="W26" s="37"/>
      <c r="Y26" s="103"/>
      <c r="Z26" s="10"/>
      <c r="AA26" s="10"/>
      <c r="AB26" s="10"/>
      <c r="AC26" s="10"/>
      <c r="AD26" s="10"/>
      <c r="AE26" s="10"/>
      <c r="AF26" s="11"/>
      <c r="AG26" s="12"/>
      <c r="AH26" s="11"/>
      <c r="AI26" s="12"/>
      <c r="AJ26" s="11"/>
      <c r="AK26" s="12"/>
      <c r="AL26" s="11"/>
      <c r="AN26" s="103"/>
      <c r="AO26" s="10"/>
      <c r="AP26" s="10"/>
      <c r="AQ26" s="10"/>
      <c r="AR26" s="10"/>
      <c r="AS26" s="10"/>
      <c r="AT26" s="10"/>
      <c r="AU26" s="11"/>
      <c r="AV26" s="12"/>
      <c r="AW26" s="11"/>
      <c r="AX26" s="12"/>
      <c r="AY26" s="11"/>
      <c r="AZ26" s="12"/>
      <c r="BA26" s="11"/>
      <c r="BB26" s="104">
        <f t="shared" si="1"/>
        <v>0</v>
      </c>
    </row>
    <row r="27">
      <c r="B27" s="16"/>
      <c r="C27" s="17"/>
      <c r="D27" s="17"/>
      <c r="E27" s="17"/>
      <c r="F27" s="17"/>
      <c r="G27" s="17"/>
      <c r="H27" s="17"/>
      <c r="I27" s="17"/>
      <c r="J27" s="17"/>
      <c r="K27" s="17"/>
      <c r="L27" s="17"/>
      <c r="M27" s="17"/>
      <c r="N27" s="17"/>
      <c r="O27" s="17"/>
      <c r="P27" s="17"/>
      <c r="Q27" s="17"/>
      <c r="R27" s="17"/>
      <c r="S27" s="17"/>
      <c r="T27" s="17"/>
      <c r="U27" s="17"/>
      <c r="V27" s="17"/>
      <c r="W27" s="18"/>
      <c r="Y27" s="103"/>
      <c r="Z27" s="10"/>
      <c r="AA27" s="10"/>
      <c r="AB27" s="10"/>
      <c r="AC27" s="10"/>
      <c r="AD27" s="10"/>
      <c r="AE27" s="10"/>
      <c r="AF27" s="11"/>
      <c r="AG27" s="12"/>
      <c r="AH27" s="11"/>
      <c r="AI27" s="12"/>
      <c r="AJ27" s="11"/>
      <c r="AK27" s="12"/>
      <c r="AL27" s="11"/>
      <c r="AN27" s="103"/>
      <c r="AO27" s="10"/>
      <c r="AP27" s="10"/>
      <c r="AQ27" s="10"/>
      <c r="AR27" s="10"/>
      <c r="AS27" s="10"/>
      <c r="AT27" s="10"/>
      <c r="AU27" s="11"/>
      <c r="AV27" s="12"/>
      <c r="AW27" s="11"/>
      <c r="AX27" s="12"/>
      <c r="AY27" s="11"/>
      <c r="AZ27" s="12"/>
      <c r="BA27" s="11"/>
      <c r="BB27" s="104">
        <f t="shared" si="1"/>
        <v>0</v>
      </c>
    </row>
    <row r="28">
      <c r="B28" s="21" t="s">
        <v>156</v>
      </c>
      <c r="C28" s="10"/>
      <c r="D28" s="10"/>
      <c r="E28" s="10"/>
      <c r="F28" s="10"/>
      <c r="G28" s="10"/>
      <c r="H28" s="10"/>
      <c r="I28" s="10"/>
      <c r="J28" s="10"/>
      <c r="K28" s="10"/>
      <c r="L28" s="10"/>
      <c r="M28" s="10"/>
      <c r="N28" s="10"/>
      <c r="O28" s="10"/>
      <c r="P28" s="10"/>
      <c r="Q28" s="10"/>
      <c r="R28" s="10"/>
      <c r="S28" s="10"/>
      <c r="T28" s="10"/>
      <c r="U28" s="10"/>
      <c r="V28" s="10"/>
      <c r="W28" s="11"/>
      <c r="Y28" s="103"/>
      <c r="Z28" s="10"/>
      <c r="AA28" s="10"/>
      <c r="AB28" s="10"/>
      <c r="AC28" s="10"/>
      <c r="AD28" s="10"/>
      <c r="AE28" s="10"/>
      <c r="AF28" s="11"/>
      <c r="AG28" s="12"/>
      <c r="AH28" s="11"/>
      <c r="AI28" s="12"/>
      <c r="AJ28" s="11"/>
      <c r="AK28" s="12"/>
      <c r="AL28" s="11"/>
      <c r="AN28" s="103"/>
      <c r="AO28" s="10"/>
      <c r="AP28" s="10"/>
      <c r="AQ28" s="10"/>
      <c r="AR28" s="10"/>
      <c r="AS28" s="10"/>
      <c r="AT28" s="10"/>
      <c r="AU28" s="11"/>
      <c r="AV28" s="12"/>
      <c r="AW28" s="11"/>
      <c r="AX28" s="12"/>
      <c r="AY28" s="11"/>
      <c r="AZ28" s="12"/>
      <c r="BA28" s="11"/>
      <c r="BB28" s="104">
        <f t="shared" si="1"/>
        <v>0</v>
      </c>
    </row>
    <row r="29">
      <c r="B29" s="105"/>
      <c r="C29" s="4"/>
      <c r="D29" s="4"/>
      <c r="E29" s="4"/>
      <c r="F29" s="4"/>
      <c r="G29" s="4"/>
      <c r="H29" s="4"/>
      <c r="I29" s="4"/>
      <c r="J29" s="4"/>
      <c r="K29" s="4"/>
      <c r="L29" s="4"/>
      <c r="M29" s="4"/>
      <c r="N29" s="4"/>
      <c r="O29" s="4"/>
      <c r="P29" s="4"/>
      <c r="Q29" s="4"/>
      <c r="R29" s="4"/>
      <c r="S29" s="4"/>
      <c r="T29" s="4"/>
      <c r="U29" s="4"/>
      <c r="V29" s="4"/>
      <c r="W29" s="5"/>
      <c r="Y29" s="103"/>
      <c r="Z29" s="10"/>
      <c r="AA29" s="10"/>
      <c r="AB29" s="10"/>
      <c r="AC29" s="10"/>
      <c r="AD29" s="10"/>
      <c r="AE29" s="10"/>
      <c r="AF29" s="11"/>
      <c r="AG29" s="12"/>
      <c r="AH29" s="11"/>
      <c r="AI29" s="12"/>
      <c r="AJ29" s="11"/>
      <c r="AK29" s="12"/>
      <c r="AL29" s="11"/>
      <c r="AN29" s="103"/>
      <c r="AO29" s="10"/>
      <c r="AP29" s="10"/>
      <c r="AQ29" s="10"/>
      <c r="AR29" s="10"/>
      <c r="AS29" s="10"/>
      <c r="AT29" s="10"/>
      <c r="AU29" s="11"/>
      <c r="AV29" s="12"/>
      <c r="AW29" s="11"/>
      <c r="AX29" s="12"/>
      <c r="AY29" s="11"/>
      <c r="AZ29" s="12"/>
      <c r="BA29" s="11"/>
      <c r="BB29" s="104">
        <f t="shared" si="1"/>
        <v>0</v>
      </c>
    </row>
    <row r="30">
      <c r="B30" s="36"/>
      <c r="W30" s="37"/>
      <c r="Y30" s="103"/>
      <c r="Z30" s="10"/>
      <c r="AA30" s="10"/>
      <c r="AB30" s="10"/>
      <c r="AC30" s="10"/>
      <c r="AD30" s="10"/>
      <c r="AE30" s="10"/>
      <c r="AF30" s="11"/>
      <c r="AG30" s="12"/>
      <c r="AH30" s="11"/>
      <c r="AI30" s="12"/>
      <c r="AJ30" s="11"/>
      <c r="AK30" s="12"/>
      <c r="AL30" s="11"/>
      <c r="AN30" s="103"/>
      <c r="AO30" s="10"/>
      <c r="AP30" s="10"/>
      <c r="AQ30" s="10"/>
      <c r="AR30" s="10"/>
      <c r="AS30" s="10"/>
      <c r="AT30" s="10"/>
      <c r="AU30" s="11"/>
      <c r="AV30" s="12"/>
      <c r="AW30" s="11"/>
      <c r="AX30" s="12"/>
      <c r="AY30" s="11"/>
      <c r="AZ30" s="12"/>
      <c r="BA30" s="11"/>
      <c r="BB30" s="104">
        <f t="shared" si="1"/>
        <v>0</v>
      </c>
    </row>
    <row r="31">
      <c r="B31" s="16"/>
      <c r="C31" s="17"/>
      <c r="D31" s="17"/>
      <c r="E31" s="17"/>
      <c r="F31" s="17"/>
      <c r="G31" s="17"/>
      <c r="H31" s="17"/>
      <c r="I31" s="17"/>
      <c r="J31" s="17"/>
      <c r="K31" s="17"/>
      <c r="L31" s="17"/>
      <c r="M31" s="17"/>
      <c r="N31" s="17"/>
      <c r="O31" s="17"/>
      <c r="P31" s="17"/>
      <c r="Q31" s="17"/>
      <c r="R31" s="17"/>
      <c r="S31" s="17"/>
      <c r="T31" s="17"/>
      <c r="U31" s="17"/>
      <c r="V31" s="17"/>
      <c r="W31" s="18"/>
      <c r="Y31" s="103"/>
      <c r="Z31" s="10"/>
      <c r="AA31" s="10"/>
      <c r="AB31" s="10"/>
      <c r="AC31" s="10"/>
      <c r="AD31" s="10"/>
      <c r="AE31" s="10"/>
      <c r="AF31" s="11"/>
      <c r="AG31" s="12"/>
      <c r="AH31" s="11"/>
      <c r="AI31" s="12"/>
      <c r="AJ31" s="11"/>
      <c r="AK31" s="12"/>
      <c r="AL31" s="11"/>
      <c r="AN31" s="103"/>
      <c r="AO31" s="10"/>
      <c r="AP31" s="10"/>
      <c r="AQ31" s="10"/>
      <c r="AR31" s="10"/>
      <c r="AS31" s="10"/>
      <c r="AT31" s="10"/>
      <c r="AU31" s="11"/>
      <c r="AV31" s="12"/>
      <c r="AW31" s="11"/>
      <c r="AX31" s="12"/>
      <c r="AY31" s="11"/>
      <c r="AZ31" s="12"/>
      <c r="BA31" s="11"/>
      <c r="BB31" s="104">
        <f t="shared" si="1"/>
        <v>0</v>
      </c>
    </row>
    <row r="32">
      <c r="B32" s="21" t="s">
        <v>157</v>
      </c>
      <c r="C32" s="10"/>
      <c r="D32" s="10"/>
      <c r="E32" s="10"/>
      <c r="F32" s="10"/>
      <c r="G32" s="10"/>
      <c r="H32" s="10"/>
      <c r="I32" s="10"/>
      <c r="J32" s="10"/>
      <c r="K32" s="10"/>
      <c r="L32" s="10"/>
      <c r="M32" s="10"/>
      <c r="N32" s="10"/>
      <c r="O32" s="10"/>
      <c r="P32" s="10"/>
      <c r="Q32" s="10"/>
      <c r="R32" s="10"/>
      <c r="S32" s="10"/>
      <c r="T32" s="10"/>
      <c r="U32" s="10"/>
      <c r="V32" s="10"/>
      <c r="W32" s="11"/>
      <c r="Y32" s="103"/>
      <c r="Z32" s="10"/>
      <c r="AA32" s="10"/>
      <c r="AB32" s="10"/>
      <c r="AC32" s="10"/>
      <c r="AD32" s="10"/>
      <c r="AE32" s="10"/>
      <c r="AF32" s="11"/>
      <c r="AG32" s="12"/>
      <c r="AH32" s="11"/>
      <c r="AI32" s="12"/>
      <c r="AJ32" s="11"/>
      <c r="AK32" s="12"/>
      <c r="AL32" s="11"/>
      <c r="AN32" s="103"/>
      <c r="AO32" s="10"/>
      <c r="AP32" s="10"/>
      <c r="AQ32" s="10"/>
      <c r="AR32" s="10"/>
      <c r="AS32" s="10"/>
      <c r="AT32" s="10"/>
      <c r="AU32" s="11"/>
      <c r="AV32" s="12"/>
      <c r="AW32" s="11"/>
      <c r="AX32" s="12"/>
      <c r="AY32" s="11"/>
      <c r="AZ32" s="12"/>
      <c r="BA32" s="11"/>
      <c r="BB32" s="104">
        <f t="shared" si="1"/>
        <v>0</v>
      </c>
    </row>
    <row r="33">
      <c r="B33" s="106"/>
      <c r="C33" s="4"/>
      <c r="D33" s="4"/>
      <c r="E33" s="4"/>
      <c r="F33" s="4"/>
      <c r="G33" s="4"/>
      <c r="H33" s="4"/>
      <c r="I33" s="4"/>
      <c r="J33" s="4"/>
      <c r="K33" s="4"/>
      <c r="L33" s="4"/>
      <c r="M33" s="4"/>
      <c r="N33" s="4"/>
      <c r="O33" s="4"/>
      <c r="P33" s="4"/>
      <c r="Q33" s="4"/>
      <c r="R33" s="4"/>
      <c r="S33" s="4"/>
      <c r="T33" s="4"/>
      <c r="U33" s="4"/>
      <c r="V33" s="4"/>
      <c r="W33" s="5"/>
      <c r="Y33" s="107"/>
      <c r="Z33" s="10"/>
      <c r="AA33" s="10"/>
      <c r="AB33" s="10"/>
      <c r="AC33" s="10"/>
      <c r="AD33" s="10"/>
      <c r="AE33" s="10"/>
      <c r="AF33" s="10"/>
      <c r="AG33" s="10"/>
      <c r="AH33" s="10"/>
      <c r="AI33" s="10"/>
      <c r="AJ33" s="10"/>
      <c r="AK33" s="10"/>
      <c r="AL33" s="11"/>
      <c r="AN33" s="107"/>
      <c r="AO33" s="10"/>
      <c r="AP33" s="10"/>
      <c r="AQ33" s="10"/>
      <c r="AR33" s="10"/>
      <c r="AS33" s="10"/>
      <c r="AT33" s="10"/>
      <c r="AU33" s="10"/>
      <c r="AV33" s="10"/>
      <c r="AW33" s="10"/>
      <c r="AX33" s="10"/>
      <c r="AY33" s="10"/>
      <c r="AZ33" s="10"/>
      <c r="BA33" s="11"/>
      <c r="BB33" s="24"/>
    </row>
    <row r="34">
      <c r="B34" s="36"/>
      <c r="W34" s="37"/>
      <c r="Y34" s="48" t="s">
        <v>158</v>
      </c>
      <c r="Z34" s="10"/>
      <c r="AA34" s="10"/>
      <c r="AB34" s="10"/>
      <c r="AC34" s="10"/>
      <c r="AD34" s="10"/>
      <c r="AE34" s="10"/>
      <c r="AF34" s="10"/>
      <c r="AG34" s="10"/>
      <c r="AH34" s="11"/>
      <c r="AI34" s="108">
        <f>SUM(BB8:BB32)</f>
        <v>0</v>
      </c>
      <c r="AJ34" s="10"/>
      <c r="AK34" s="10"/>
      <c r="AL34" s="11"/>
      <c r="AN34" s="109" t="s">
        <v>159</v>
      </c>
      <c r="AO34" s="10"/>
      <c r="AP34" s="10"/>
      <c r="AQ34" s="10"/>
      <c r="AR34" s="10"/>
      <c r="AS34" s="10"/>
      <c r="AT34" s="10"/>
      <c r="AU34" s="10"/>
      <c r="AV34" s="10"/>
      <c r="AW34" s="11"/>
      <c r="AX34" s="110">
        <f>For*2+8</f>
        <v>8</v>
      </c>
      <c r="AY34" s="10"/>
      <c r="AZ34" s="10"/>
      <c r="BA34" s="11"/>
      <c r="BB34" s="111"/>
    </row>
    <row r="35">
      <c r="B35" s="16"/>
      <c r="C35" s="17"/>
      <c r="D35" s="17"/>
      <c r="E35" s="17"/>
      <c r="F35" s="17"/>
      <c r="G35" s="17"/>
      <c r="H35" s="17"/>
      <c r="I35" s="17"/>
      <c r="J35" s="17"/>
      <c r="K35" s="17"/>
      <c r="L35" s="17"/>
      <c r="M35" s="17"/>
      <c r="N35" s="17"/>
      <c r="O35" s="17"/>
      <c r="P35" s="17"/>
      <c r="Q35" s="17"/>
      <c r="R35" s="17"/>
      <c r="S35" s="17"/>
      <c r="T35" s="17"/>
      <c r="U35" s="17"/>
      <c r="V35" s="17"/>
      <c r="W35" s="18"/>
      <c r="Y35" s="112"/>
      <c r="AN35" s="112"/>
      <c r="BB35" s="111"/>
    </row>
    <row r="36">
      <c r="B36" s="111"/>
    </row>
  </sheetData>
  <mergeCells count="256">
    <mergeCell ref="N5:W6"/>
    <mergeCell ref="Y5:BA6"/>
    <mergeCell ref="J5:M6"/>
    <mergeCell ref="J7:M7"/>
    <mergeCell ref="N7:W7"/>
    <mergeCell ref="Y7:AF7"/>
    <mergeCell ref="AG7:AH7"/>
    <mergeCell ref="AI7:AJ7"/>
    <mergeCell ref="AN7:AU7"/>
    <mergeCell ref="AV7:AW7"/>
    <mergeCell ref="AX7:AY7"/>
    <mergeCell ref="AZ7:BA7"/>
    <mergeCell ref="J8:M8"/>
    <mergeCell ref="N8:W8"/>
    <mergeCell ref="B6:I15"/>
    <mergeCell ref="J9:M9"/>
    <mergeCell ref="J10:M10"/>
    <mergeCell ref="J11:M11"/>
    <mergeCell ref="AX9:AY9"/>
    <mergeCell ref="AZ9:BA9"/>
    <mergeCell ref="AG10:AH10"/>
    <mergeCell ref="AI10:AJ10"/>
    <mergeCell ref="AK10:AL10"/>
    <mergeCell ref="AN10:AU10"/>
    <mergeCell ref="AV10:AW10"/>
    <mergeCell ref="AX10:AY10"/>
    <mergeCell ref="AV11:AW11"/>
    <mergeCell ref="AX11:AY11"/>
    <mergeCell ref="AN15:AU15"/>
    <mergeCell ref="AV15:AW15"/>
    <mergeCell ref="AX15:AY15"/>
    <mergeCell ref="AZ15:BA15"/>
    <mergeCell ref="N10:W10"/>
    <mergeCell ref="Y10:AF10"/>
    <mergeCell ref="N15:W15"/>
    <mergeCell ref="Y15:AF15"/>
    <mergeCell ref="AG15:AH15"/>
    <mergeCell ref="AI15:AJ15"/>
    <mergeCell ref="AK15:AL15"/>
    <mergeCell ref="Y13:AF13"/>
    <mergeCell ref="AG13:AH13"/>
    <mergeCell ref="N9:W9"/>
    <mergeCell ref="Y9:AF9"/>
    <mergeCell ref="N12:W12"/>
    <mergeCell ref="Y12:AF12"/>
    <mergeCell ref="AG12:AH12"/>
    <mergeCell ref="AI12:AJ12"/>
    <mergeCell ref="AI13:AJ13"/>
    <mergeCell ref="AZ10:BA10"/>
    <mergeCell ref="N11:W11"/>
    <mergeCell ref="Y11:AF11"/>
    <mergeCell ref="AG11:AH11"/>
    <mergeCell ref="AI11:AJ11"/>
    <mergeCell ref="AK11:AL11"/>
    <mergeCell ref="AN11:AU11"/>
    <mergeCell ref="AZ8:BA8"/>
    <mergeCell ref="AZ13:BA13"/>
    <mergeCell ref="J14:M14"/>
    <mergeCell ref="Y14:AF14"/>
    <mergeCell ref="AG14:AH14"/>
    <mergeCell ref="AI14:AJ14"/>
    <mergeCell ref="AK14:AL14"/>
    <mergeCell ref="AN14:AU14"/>
    <mergeCell ref="AV14:AW14"/>
    <mergeCell ref="AX14:AY14"/>
    <mergeCell ref="J13:M13"/>
    <mergeCell ref="J15:M15"/>
    <mergeCell ref="Y17:AF17"/>
    <mergeCell ref="Y18:AF18"/>
    <mergeCell ref="N13:W13"/>
    <mergeCell ref="N14:W14"/>
    <mergeCell ref="Y16:AF16"/>
    <mergeCell ref="AG16:AH16"/>
    <mergeCell ref="AI16:AJ16"/>
    <mergeCell ref="AG17:AH17"/>
    <mergeCell ref="AI17:AJ17"/>
    <mergeCell ref="AZ11:BA11"/>
    <mergeCell ref="J12:M12"/>
    <mergeCell ref="AZ12:BA12"/>
    <mergeCell ref="AZ14:BA14"/>
    <mergeCell ref="AZ16:BA16"/>
    <mergeCell ref="AG18:AH18"/>
    <mergeCell ref="AI18:AJ18"/>
    <mergeCell ref="AK18:AL18"/>
    <mergeCell ref="AN18:AU18"/>
    <mergeCell ref="AV18:AW18"/>
    <mergeCell ref="AX18:AY18"/>
    <mergeCell ref="B17:W19"/>
    <mergeCell ref="Y19:AF19"/>
    <mergeCell ref="AG19:AH19"/>
    <mergeCell ref="AI19:AJ19"/>
    <mergeCell ref="AN9:AU9"/>
    <mergeCell ref="AV9:AW9"/>
    <mergeCell ref="AN12:AU12"/>
    <mergeCell ref="AV12:AW12"/>
    <mergeCell ref="AX12:AY12"/>
    <mergeCell ref="AV13:AW13"/>
    <mergeCell ref="AX13:AY13"/>
    <mergeCell ref="AN13:AU13"/>
    <mergeCell ref="AN16:AU16"/>
    <mergeCell ref="AV16:AW16"/>
    <mergeCell ref="AX16:AY16"/>
    <mergeCell ref="AN17:AU17"/>
    <mergeCell ref="AV17:AW17"/>
    <mergeCell ref="AX17:AY17"/>
    <mergeCell ref="AZ24:BA24"/>
    <mergeCell ref="B25:W27"/>
    <mergeCell ref="Y25:AF25"/>
    <mergeCell ref="AG25:AH25"/>
    <mergeCell ref="AI25:AJ25"/>
    <mergeCell ref="AK25:AL25"/>
    <mergeCell ref="AN25:AU25"/>
    <mergeCell ref="AK30:AL30"/>
    <mergeCell ref="AN30:AU30"/>
    <mergeCell ref="AV30:AW30"/>
    <mergeCell ref="AX30:AY30"/>
    <mergeCell ref="Y30:AF30"/>
    <mergeCell ref="Y31:AF31"/>
    <mergeCell ref="AG31:AH31"/>
    <mergeCell ref="AI31:AJ31"/>
    <mergeCell ref="AK31:AL31"/>
    <mergeCell ref="AN31:AU31"/>
    <mergeCell ref="AV31:AW31"/>
    <mergeCell ref="AX31:AY31"/>
    <mergeCell ref="AZ32:BA32"/>
    <mergeCell ref="B33:W35"/>
    <mergeCell ref="Y33:AL33"/>
    <mergeCell ref="AN33:BA33"/>
    <mergeCell ref="AI34:AL34"/>
    <mergeCell ref="AN34:AW34"/>
    <mergeCell ref="AX34:BA34"/>
    <mergeCell ref="A1:BB1"/>
    <mergeCell ref="A2:A36"/>
    <mergeCell ref="B2:BA3"/>
    <mergeCell ref="B4:BA4"/>
    <mergeCell ref="B5:I5"/>
    <mergeCell ref="X5:X35"/>
    <mergeCell ref="AZ18:BA18"/>
    <mergeCell ref="AZ28:BA28"/>
    <mergeCell ref="B29:W31"/>
    <mergeCell ref="AX29:AY29"/>
    <mergeCell ref="AZ29:BA29"/>
    <mergeCell ref="AG30:AH30"/>
    <mergeCell ref="AI30:AJ30"/>
    <mergeCell ref="AZ30:BA30"/>
    <mergeCell ref="AZ31:BA31"/>
    <mergeCell ref="B32:W32"/>
    <mergeCell ref="Y32:AF32"/>
    <mergeCell ref="AG32:AH32"/>
    <mergeCell ref="AI32:AJ32"/>
    <mergeCell ref="AK32:AL32"/>
    <mergeCell ref="AN32:AU32"/>
    <mergeCell ref="AV32:AW32"/>
    <mergeCell ref="AX32:AY32"/>
    <mergeCell ref="Y34:AH34"/>
    <mergeCell ref="Y35:AL35"/>
    <mergeCell ref="AN35:BA35"/>
    <mergeCell ref="B36:BB36"/>
    <mergeCell ref="B16:W16"/>
    <mergeCell ref="AZ17:BA17"/>
    <mergeCell ref="AX19:AY19"/>
    <mergeCell ref="AZ19:BA19"/>
    <mergeCell ref="B20:W20"/>
    <mergeCell ref="Y20:AF20"/>
    <mergeCell ref="AG20:AH20"/>
    <mergeCell ref="AI20:AJ20"/>
    <mergeCell ref="AK20:AL20"/>
    <mergeCell ref="AN20:AU20"/>
    <mergeCell ref="AV20:AW20"/>
    <mergeCell ref="AX20:AY20"/>
    <mergeCell ref="AV21:AW21"/>
    <mergeCell ref="AX21:AY21"/>
    <mergeCell ref="Y24:AF24"/>
    <mergeCell ref="AG24:AH24"/>
    <mergeCell ref="AK17:AL17"/>
    <mergeCell ref="AK19:AL19"/>
    <mergeCell ref="Y22:AF22"/>
    <mergeCell ref="AG22:AH22"/>
    <mergeCell ref="AI22:AJ22"/>
    <mergeCell ref="AK22:AL22"/>
    <mergeCell ref="Y23:AF23"/>
    <mergeCell ref="AZ20:BA20"/>
    <mergeCell ref="B21:W23"/>
    <mergeCell ref="Y21:AF21"/>
    <mergeCell ref="AG21:AH21"/>
    <mergeCell ref="AI21:AJ21"/>
    <mergeCell ref="AK21:AL21"/>
    <mergeCell ref="AN21:AU21"/>
    <mergeCell ref="AZ23:BA23"/>
    <mergeCell ref="AZ21:BA21"/>
    <mergeCell ref="AZ22:BA22"/>
    <mergeCell ref="B24:W24"/>
    <mergeCell ref="AI24:AJ24"/>
    <mergeCell ref="AK24:AL24"/>
    <mergeCell ref="AN24:AU24"/>
    <mergeCell ref="AV24:AW24"/>
    <mergeCell ref="AX24:AY24"/>
    <mergeCell ref="AV25:AW25"/>
    <mergeCell ref="AX25:AY25"/>
    <mergeCell ref="AZ25:BA25"/>
    <mergeCell ref="Y26:AF26"/>
    <mergeCell ref="AN26:AU26"/>
    <mergeCell ref="AV26:AW26"/>
    <mergeCell ref="AG23:AH23"/>
    <mergeCell ref="AI23:AJ23"/>
    <mergeCell ref="AN23:AU23"/>
    <mergeCell ref="AV23:AW23"/>
    <mergeCell ref="AX23:AY23"/>
    <mergeCell ref="AG26:AH26"/>
    <mergeCell ref="AI26:AJ26"/>
    <mergeCell ref="AX26:AY26"/>
    <mergeCell ref="AZ26:BA26"/>
    <mergeCell ref="Y27:AF27"/>
    <mergeCell ref="AG27:AH27"/>
    <mergeCell ref="AI27:AJ27"/>
    <mergeCell ref="AK27:AL27"/>
    <mergeCell ref="AN27:AU27"/>
    <mergeCell ref="AV27:AW27"/>
    <mergeCell ref="AX27:AY27"/>
    <mergeCell ref="AZ27:BA27"/>
    <mergeCell ref="B28:W28"/>
    <mergeCell ref="Y28:AF28"/>
    <mergeCell ref="AG28:AH28"/>
    <mergeCell ref="AI28:AJ28"/>
    <mergeCell ref="AN29:AU29"/>
    <mergeCell ref="AV29:AW29"/>
    <mergeCell ref="AK23:AL23"/>
    <mergeCell ref="AK26:AL26"/>
    <mergeCell ref="AN28:AU28"/>
    <mergeCell ref="AV28:AW28"/>
    <mergeCell ref="AX28:AY28"/>
    <mergeCell ref="Y29:AF29"/>
    <mergeCell ref="AG29:AH29"/>
    <mergeCell ref="Y8:AF8"/>
    <mergeCell ref="AG8:AH8"/>
    <mergeCell ref="AI8:AJ8"/>
    <mergeCell ref="AN8:AU8"/>
    <mergeCell ref="AV8:AW8"/>
    <mergeCell ref="AX8:AY8"/>
    <mergeCell ref="AG9:AH9"/>
    <mergeCell ref="AI9:AJ9"/>
    <mergeCell ref="AN19:AU19"/>
    <mergeCell ref="AV19:AW19"/>
    <mergeCell ref="AN22:AU22"/>
    <mergeCell ref="AV22:AW22"/>
    <mergeCell ref="AX22:AY22"/>
    <mergeCell ref="AK7:AL7"/>
    <mergeCell ref="AM7:AM35"/>
    <mergeCell ref="AK8:AL8"/>
    <mergeCell ref="AK9:AL9"/>
    <mergeCell ref="AK12:AL12"/>
    <mergeCell ref="AK13:AL13"/>
    <mergeCell ref="AK16:AL16"/>
    <mergeCell ref="AK28:AL28"/>
    <mergeCell ref="AI29:AJ29"/>
    <mergeCell ref="AK29:AL29"/>
  </mergeCells>
  <conditionalFormatting sqref="A1:A36 B1:BA1 BB1:BB36 B4:W4 X4:X36 Y4:BA4 AM7:AM36 B36:W36 Y36:AL36 AN36:BA36 Y35:AL35 AN35:BA35">
    <cfRule type="containsBlanks" dxfId="1" priority="1">
      <formula>LEN(TRIM(A1))=0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4" width="3.25"/>
  </cols>
  <sheetData>
    <row r="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row>
    <row r="2">
      <c r="A2" s="24"/>
      <c r="B2" s="99" t="s">
        <v>160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5"/>
    </row>
    <row r="3">
      <c r="A3" s="24"/>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8"/>
    </row>
    <row r="4">
      <c r="A4" s="24"/>
      <c r="BC4" s="24"/>
      <c r="BD4" s="24"/>
      <c r="BE4" s="24"/>
      <c r="BF4" s="24"/>
      <c r="BG4" s="24"/>
      <c r="BH4" s="24"/>
      <c r="BI4" s="24"/>
      <c r="BJ4" s="24"/>
      <c r="BK4" s="24"/>
      <c r="BL4" s="24"/>
    </row>
    <row r="5">
      <c r="A5" s="24"/>
      <c r="B5" s="22" t="s">
        <v>161</v>
      </c>
      <c r="C5" s="4"/>
      <c r="D5" s="4"/>
      <c r="E5" s="4"/>
      <c r="F5" s="4"/>
      <c r="G5" s="4"/>
      <c r="H5" s="4"/>
      <c r="I5" s="4"/>
      <c r="J5" s="4"/>
      <c r="K5" s="4"/>
      <c r="L5" s="5"/>
      <c r="M5" s="113"/>
      <c r="N5" s="25" t="s">
        <v>162</v>
      </c>
      <c r="O5" s="4"/>
      <c r="P5" s="4"/>
      <c r="Q5" s="4"/>
      <c r="R5" s="4"/>
      <c r="S5" s="4"/>
      <c r="T5" s="4"/>
      <c r="U5" s="4"/>
      <c r="V5" s="4"/>
      <c r="W5" s="4"/>
      <c r="X5" s="4"/>
      <c r="Y5" s="5"/>
      <c r="Z5" s="24"/>
      <c r="AA5" s="25" t="s">
        <v>163</v>
      </c>
      <c r="AB5" s="4"/>
      <c r="AC5" s="4"/>
      <c r="AD5" s="4"/>
      <c r="AE5" s="4"/>
      <c r="AF5" s="4"/>
      <c r="AG5" s="4"/>
      <c r="AH5" s="4"/>
      <c r="AI5" s="4"/>
      <c r="AJ5" s="4"/>
      <c r="AK5" s="4"/>
      <c r="AL5" s="4"/>
      <c r="AM5" s="4"/>
      <c r="AN5" s="4"/>
      <c r="AO5" s="4"/>
      <c r="AP5" s="4"/>
      <c r="AQ5" s="4"/>
      <c r="AR5" s="4"/>
      <c r="AS5" s="4"/>
      <c r="AT5" s="4"/>
      <c r="AU5" s="4"/>
      <c r="AV5" s="4"/>
      <c r="AW5" s="4"/>
      <c r="AX5" s="4"/>
      <c r="AY5" s="4"/>
      <c r="AZ5" s="5"/>
      <c r="BA5" s="114"/>
      <c r="BB5" s="22" t="s">
        <v>164</v>
      </c>
      <c r="BC5" s="4"/>
      <c r="BD5" s="4"/>
      <c r="BE5" s="4"/>
      <c r="BF5" s="4"/>
      <c r="BG5" s="4"/>
      <c r="BH5" s="4"/>
      <c r="BI5" s="4"/>
      <c r="BJ5" s="4"/>
      <c r="BK5" s="4"/>
      <c r="BL5" s="5"/>
    </row>
    <row r="6">
      <c r="B6" s="16"/>
      <c r="C6" s="17"/>
      <c r="D6" s="17"/>
      <c r="E6" s="17"/>
      <c r="F6" s="17"/>
      <c r="G6" s="17"/>
      <c r="H6" s="17"/>
      <c r="I6" s="17"/>
      <c r="J6" s="17"/>
      <c r="K6" s="17"/>
      <c r="L6" s="18"/>
      <c r="N6" s="16"/>
      <c r="O6" s="17"/>
      <c r="P6" s="17"/>
      <c r="Q6" s="17"/>
      <c r="R6" s="17"/>
      <c r="S6" s="17"/>
      <c r="T6" s="17"/>
      <c r="U6" s="17"/>
      <c r="V6" s="17"/>
      <c r="W6" s="17"/>
      <c r="X6" s="17"/>
      <c r="Y6" s="18"/>
      <c r="AA6" s="16"/>
      <c r="AB6" s="17"/>
      <c r="AC6" s="17"/>
      <c r="AD6" s="17"/>
      <c r="AE6" s="17"/>
      <c r="AF6" s="17"/>
      <c r="AG6" s="17"/>
      <c r="AH6" s="17"/>
      <c r="AI6" s="17"/>
      <c r="AJ6" s="17"/>
      <c r="AK6" s="17"/>
      <c r="AL6" s="17"/>
      <c r="AM6" s="17"/>
      <c r="AN6" s="17"/>
      <c r="AO6" s="17"/>
      <c r="AP6" s="17"/>
      <c r="AQ6" s="17"/>
      <c r="AR6" s="17"/>
      <c r="AS6" s="17"/>
      <c r="AT6" s="17"/>
      <c r="AU6" s="17"/>
      <c r="AV6" s="17"/>
      <c r="AW6" s="17"/>
      <c r="AX6" s="17"/>
      <c r="AY6" s="17"/>
      <c r="AZ6" s="18"/>
      <c r="BB6" s="16"/>
      <c r="BC6" s="17"/>
      <c r="BD6" s="17"/>
      <c r="BE6" s="17"/>
      <c r="BF6" s="17"/>
      <c r="BG6" s="17"/>
      <c r="BH6" s="17"/>
      <c r="BI6" s="17"/>
      <c r="BJ6" s="17"/>
      <c r="BK6" s="17"/>
      <c r="BL6" s="18"/>
    </row>
    <row r="7">
      <c r="B7" s="9" t="s">
        <v>165</v>
      </c>
      <c r="C7" s="10"/>
      <c r="D7" s="10"/>
      <c r="E7" s="10"/>
      <c r="F7" s="10"/>
      <c r="G7" s="10"/>
      <c r="H7" s="10"/>
      <c r="I7" s="10"/>
      <c r="J7" s="10"/>
      <c r="K7" s="10"/>
      <c r="L7" s="11"/>
      <c r="N7" s="13" t="s">
        <v>34</v>
      </c>
      <c r="O7" s="10"/>
      <c r="P7" s="10"/>
      <c r="Q7" s="10"/>
      <c r="R7" s="10"/>
      <c r="S7" s="11"/>
      <c r="T7" s="13" t="s">
        <v>35</v>
      </c>
      <c r="U7" s="11"/>
      <c r="V7" s="13" t="s">
        <v>36</v>
      </c>
      <c r="W7" s="11"/>
      <c r="X7" s="13" t="s">
        <v>37</v>
      </c>
      <c r="Y7" s="11"/>
      <c r="AA7" s="109" t="s">
        <v>166</v>
      </c>
      <c r="AB7" s="10"/>
      <c r="AC7" s="10"/>
      <c r="AD7" s="10"/>
      <c r="AE7" s="10"/>
      <c r="AF7" s="10"/>
      <c r="AG7" s="10"/>
      <c r="AH7" s="11"/>
      <c r="AI7" s="115"/>
      <c r="AJ7" s="109" t="s">
        <v>167</v>
      </c>
      <c r="AK7" s="10"/>
      <c r="AL7" s="10"/>
      <c r="AM7" s="10"/>
      <c r="AN7" s="10"/>
      <c r="AO7" s="10"/>
      <c r="AP7" s="10"/>
      <c r="AQ7" s="11"/>
      <c r="AR7" s="115"/>
      <c r="AS7" s="109" t="s">
        <v>168</v>
      </c>
      <c r="AT7" s="10"/>
      <c r="AU7" s="10"/>
      <c r="AV7" s="10"/>
      <c r="AW7" s="10"/>
      <c r="AX7" s="10"/>
      <c r="AY7" s="10"/>
      <c r="AZ7" s="11"/>
      <c r="BB7" s="9" t="s">
        <v>169</v>
      </c>
      <c r="BC7" s="10"/>
      <c r="BD7" s="10"/>
      <c r="BE7" s="10"/>
      <c r="BF7" s="10"/>
      <c r="BG7" s="10"/>
      <c r="BH7" s="10"/>
      <c r="BI7" s="10"/>
      <c r="BJ7" s="10"/>
      <c r="BK7" s="10"/>
      <c r="BL7" s="11"/>
    </row>
    <row r="8">
      <c r="B8" s="19"/>
      <c r="C8" s="4"/>
      <c r="D8" s="4"/>
      <c r="E8" s="4"/>
      <c r="F8" s="4"/>
      <c r="G8" s="4"/>
      <c r="H8" s="4"/>
      <c r="I8" s="4"/>
      <c r="J8" s="4"/>
      <c r="K8" s="4"/>
      <c r="L8" s="5"/>
      <c r="N8" s="40"/>
      <c r="O8" s="10"/>
      <c r="P8" s="10"/>
      <c r="Q8" s="10"/>
      <c r="R8" s="10"/>
      <c r="S8" s="11"/>
      <c r="T8" s="41"/>
      <c r="U8" s="11"/>
      <c r="V8" s="41"/>
      <c r="W8" s="11"/>
      <c r="X8" s="41"/>
      <c r="Y8" s="11"/>
      <c r="AA8" s="108"/>
      <c r="AB8" s="10"/>
      <c r="AC8" s="10"/>
      <c r="AD8" s="10"/>
      <c r="AE8" s="10"/>
      <c r="AF8" s="10"/>
      <c r="AG8" s="10"/>
      <c r="AH8" s="11"/>
      <c r="AI8" s="116"/>
      <c r="AJ8" s="108"/>
      <c r="AK8" s="10"/>
      <c r="AL8" s="10"/>
      <c r="AM8" s="10"/>
      <c r="AN8" s="10"/>
      <c r="AO8" s="10"/>
      <c r="AP8" s="10"/>
      <c r="AQ8" s="11"/>
      <c r="AR8" s="116"/>
      <c r="AS8" s="108"/>
      <c r="AT8" s="10"/>
      <c r="AU8" s="10"/>
      <c r="AV8" s="10"/>
      <c r="AW8" s="10"/>
      <c r="AX8" s="10"/>
      <c r="AY8" s="10"/>
      <c r="AZ8" s="11"/>
      <c r="BB8" s="19"/>
      <c r="BC8" s="4"/>
      <c r="BD8" s="4"/>
      <c r="BE8" s="4"/>
      <c r="BF8" s="4"/>
      <c r="BG8" s="4"/>
      <c r="BH8" s="4"/>
      <c r="BI8" s="4"/>
      <c r="BJ8" s="4"/>
      <c r="BK8" s="4"/>
      <c r="BL8" s="5"/>
    </row>
    <row r="9">
      <c r="B9" s="16"/>
      <c r="C9" s="17"/>
      <c r="D9" s="17"/>
      <c r="E9" s="17"/>
      <c r="F9" s="17"/>
      <c r="G9" s="17"/>
      <c r="H9" s="17"/>
      <c r="I9" s="17"/>
      <c r="J9" s="17"/>
      <c r="K9" s="17"/>
      <c r="L9" s="18"/>
      <c r="N9" s="40"/>
      <c r="O9" s="10"/>
      <c r="P9" s="10"/>
      <c r="Q9" s="10"/>
      <c r="R9" s="10"/>
      <c r="S9" s="11"/>
      <c r="T9" s="41"/>
      <c r="U9" s="11"/>
      <c r="V9" s="41"/>
      <c r="W9" s="11"/>
      <c r="X9" s="41"/>
      <c r="Y9" s="11"/>
      <c r="AA9" s="108"/>
      <c r="AB9" s="10"/>
      <c r="AC9" s="10"/>
      <c r="AD9" s="10"/>
      <c r="AE9" s="10"/>
      <c r="AF9" s="10"/>
      <c r="AG9" s="10"/>
      <c r="AH9" s="11"/>
      <c r="AI9" s="116"/>
      <c r="AJ9" s="108"/>
      <c r="AK9" s="10"/>
      <c r="AL9" s="10"/>
      <c r="AM9" s="10"/>
      <c r="AN9" s="10"/>
      <c r="AO9" s="10"/>
      <c r="AP9" s="10"/>
      <c r="AQ9" s="11"/>
      <c r="AR9" s="116"/>
      <c r="AS9" s="108"/>
      <c r="AT9" s="10"/>
      <c r="AU9" s="10"/>
      <c r="AV9" s="10"/>
      <c r="AW9" s="10"/>
      <c r="AX9" s="10"/>
      <c r="AY9" s="10"/>
      <c r="AZ9" s="11"/>
      <c r="BB9" s="16"/>
      <c r="BC9" s="17"/>
      <c r="BD9" s="17"/>
      <c r="BE9" s="17"/>
      <c r="BF9" s="17"/>
      <c r="BG9" s="17"/>
      <c r="BH9" s="17"/>
      <c r="BI9" s="17"/>
      <c r="BJ9" s="17"/>
      <c r="BK9" s="17"/>
      <c r="BL9" s="18"/>
    </row>
    <row r="10">
      <c r="B10" s="9" t="s">
        <v>170</v>
      </c>
      <c r="C10" s="10"/>
      <c r="D10" s="10"/>
      <c r="E10" s="10"/>
      <c r="F10" s="10"/>
      <c r="G10" s="10"/>
      <c r="H10" s="10"/>
      <c r="I10" s="10"/>
      <c r="J10" s="10"/>
      <c r="K10" s="10"/>
      <c r="L10" s="11"/>
      <c r="N10" s="40"/>
      <c r="O10" s="10"/>
      <c r="P10" s="10"/>
      <c r="Q10" s="10"/>
      <c r="R10" s="10"/>
      <c r="S10" s="11"/>
      <c r="T10" s="41"/>
      <c r="U10" s="11"/>
      <c r="V10" s="41"/>
      <c r="W10" s="11"/>
      <c r="X10" s="41"/>
      <c r="Y10" s="11"/>
      <c r="AA10" s="108"/>
      <c r="AB10" s="10"/>
      <c r="AC10" s="10"/>
      <c r="AD10" s="10"/>
      <c r="AE10" s="10"/>
      <c r="AF10" s="10"/>
      <c r="AG10" s="10"/>
      <c r="AH10" s="11"/>
      <c r="AI10" s="116"/>
      <c r="AJ10" s="108"/>
      <c r="AK10" s="10"/>
      <c r="AL10" s="10"/>
      <c r="AM10" s="10"/>
      <c r="AN10" s="10"/>
      <c r="AO10" s="10"/>
      <c r="AP10" s="10"/>
      <c r="AQ10" s="11"/>
      <c r="AR10" s="116"/>
      <c r="AS10" s="108"/>
      <c r="AT10" s="10"/>
      <c r="AU10" s="10"/>
      <c r="AV10" s="10"/>
      <c r="AW10" s="10"/>
      <c r="AX10" s="10"/>
      <c r="AY10" s="10"/>
      <c r="AZ10" s="11"/>
      <c r="BB10" s="9" t="s">
        <v>171</v>
      </c>
      <c r="BC10" s="10"/>
      <c r="BD10" s="10"/>
      <c r="BE10" s="10"/>
      <c r="BF10" s="10"/>
      <c r="BG10" s="10"/>
      <c r="BH10" s="10"/>
      <c r="BI10" s="10"/>
      <c r="BJ10" s="10"/>
      <c r="BK10" s="10"/>
      <c r="BL10" s="11"/>
    </row>
    <row r="11">
      <c r="B11" s="117"/>
      <c r="C11" s="4"/>
      <c r="D11" s="4"/>
      <c r="E11" s="4"/>
      <c r="F11" s="4"/>
      <c r="G11" s="4"/>
      <c r="H11" s="4"/>
      <c r="I11" s="4"/>
      <c r="J11" s="4"/>
      <c r="K11" s="4"/>
      <c r="L11" s="5"/>
      <c r="N11" s="40"/>
      <c r="O11" s="10"/>
      <c r="P11" s="10"/>
      <c r="Q11" s="10"/>
      <c r="R11" s="10"/>
      <c r="S11" s="11"/>
      <c r="T11" s="41"/>
      <c r="U11" s="11"/>
      <c r="V11" s="41"/>
      <c r="W11" s="11"/>
      <c r="X11" s="41"/>
      <c r="Y11" s="11"/>
      <c r="AA11" s="108"/>
      <c r="AB11" s="10"/>
      <c r="AC11" s="10"/>
      <c r="AD11" s="10"/>
      <c r="AE11" s="10"/>
      <c r="AF11" s="10"/>
      <c r="AG11" s="10"/>
      <c r="AH11" s="11"/>
      <c r="AI11" s="116"/>
      <c r="AJ11" s="108"/>
      <c r="AK11" s="10"/>
      <c r="AL11" s="10"/>
      <c r="AM11" s="10"/>
      <c r="AN11" s="10"/>
      <c r="AO11" s="10"/>
      <c r="AP11" s="10"/>
      <c r="AQ11" s="11"/>
      <c r="AR11" s="116"/>
      <c r="AS11" s="108"/>
      <c r="AT11" s="10"/>
      <c r="AU11" s="10"/>
      <c r="AV11" s="10"/>
      <c r="AW11" s="10"/>
      <c r="AX11" s="10"/>
      <c r="AY11" s="10"/>
      <c r="AZ11" s="11"/>
      <c r="BB11" s="118"/>
      <c r="BC11" s="10"/>
      <c r="BD11" s="10"/>
      <c r="BE11" s="10"/>
      <c r="BF11" s="10"/>
      <c r="BG11" s="10"/>
      <c r="BH11" s="10"/>
      <c r="BI11" s="10"/>
      <c r="BJ11" s="10"/>
      <c r="BK11" s="10"/>
      <c r="BL11" s="11"/>
    </row>
    <row r="12">
      <c r="B12" s="36"/>
      <c r="L12" s="37"/>
      <c r="N12" s="40"/>
      <c r="O12" s="10"/>
      <c r="P12" s="10"/>
      <c r="Q12" s="10"/>
      <c r="R12" s="10"/>
      <c r="S12" s="11"/>
      <c r="T12" s="41"/>
      <c r="U12" s="11"/>
      <c r="V12" s="41"/>
      <c r="W12" s="11"/>
      <c r="X12" s="41"/>
      <c r="Y12" s="11"/>
      <c r="AA12" s="108"/>
      <c r="AB12" s="10"/>
      <c r="AC12" s="10"/>
      <c r="AD12" s="10"/>
      <c r="AE12" s="10"/>
      <c r="AF12" s="10"/>
      <c r="AG12" s="10"/>
      <c r="AH12" s="11"/>
      <c r="AI12" s="116"/>
      <c r="AJ12" s="108"/>
      <c r="AK12" s="10"/>
      <c r="AL12" s="10"/>
      <c r="AM12" s="10"/>
      <c r="AN12" s="10"/>
      <c r="AO12" s="10"/>
      <c r="AP12" s="10"/>
      <c r="AQ12" s="11"/>
      <c r="AR12" s="116"/>
      <c r="AS12" s="108"/>
      <c r="AT12" s="10"/>
      <c r="AU12" s="10"/>
      <c r="AV12" s="10"/>
      <c r="AW12" s="10"/>
      <c r="AX12" s="10"/>
      <c r="AY12" s="10"/>
      <c r="AZ12" s="11"/>
      <c r="BB12" s="9" t="s">
        <v>172</v>
      </c>
      <c r="BC12" s="10"/>
      <c r="BD12" s="10"/>
      <c r="BE12" s="10"/>
      <c r="BF12" s="10"/>
      <c r="BG12" s="10"/>
      <c r="BH12" s="10"/>
      <c r="BI12" s="10"/>
      <c r="BJ12" s="10"/>
      <c r="BK12" s="10"/>
      <c r="BL12" s="11"/>
    </row>
    <row r="13">
      <c r="B13" s="36"/>
      <c r="L13" s="37"/>
      <c r="N13" s="40"/>
      <c r="O13" s="10"/>
      <c r="P13" s="10"/>
      <c r="Q13" s="10"/>
      <c r="R13" s="10"/>
      <c r="S13" s="11"/>
      <c r="T13" s="41"/>
      <c r="U13" s="11"/>
      <c r="V13" s="41"/>
      <c r="W13" s="11"/>
      <c r="X13" s="41"/>
      <c r="Y13" s="11"/>
      <c r="AA13" s="108"/>
      <c r="AB13" s="10"/>
      <c r="AC13" s="10"/>
      <c r="AD13" s="10"/>
      <c r="AE13" s="10"/>
      <c r="AF13" s="10"/>
      <c r="AG13" s="10"/>
      <c r="AH13" s="11"/>
      <c r="AI13" s="116"/>
      <c r="AJ13" s="108"/>
      <c r="AK13" s="10"/>
      <c r="AL13" s="10"/>
      <c r="AM13" s="10"/>
      <c r="AN13" s="10"/>
      <c r="AO13" s="10"/>
      <c r="AP13" s="10"/>
      <c r="AQ13" s="11"/>
      <c r="AR13" s="116"/>
      <c r="AS13" s="108"/>
      <c r="AT13" s="10"/>
      <c r="AU13" s="10"/>
      <c r="AV13" s="10"/>
      <c r="AW13" s="10"/>
      <c r="AX13" s="10"/>
      <c r="AY13" s="10"/>
      <c r="AZ13" s="11"/>
      <c r="BB13" s="117"/>
      <c r="BC13" s="4"/>
      <c r="BD13" s="4"/>
      <c r="BE13" s="4"/>
      <c r="BF13" s="4"/>
      <c r="BG13" s="4"/>
      <c r="BH13" s="4"/>
      <c r="BI13" s="4"/>
      <c r="BJ13" s="4"/>
      <c r="BK13" s="4"/>
      <c r="BL13" s="5"/>
    </row>
    <row r="14">
      <c r="B14" s="36"/>
      <c r="L14" s="37"/>
      <c r="N14" s="40"/>
      <c r="O14" s="10"/>
      <c r="P14" s="10"/>
      <c r="Q14" s="10"/>
      <c r="R14" s="10"/>
      <c r="S14" s="11"/>
      <c r="T14" s="41"/>
      <c r="U14" s="11"/>
      <c r="V14" s="41"/>
      <c r="W14" s="11"/>
      <c r="X14" s="41"/>
      <c r="Y14" s="11"/>
      <c r="AA14" s="108"/>
      <c r="AB14" s="10"/>
      <c r="AC14" s="10"/>
      <c r="AD14" s="10"/>
      <c r="AE14" s="10"/>
      <c r="AF14" s="10"/>
      <c r="AG14" s="10"/>
      <c r="AH14" s="11"/>
      <c r="AI14" s="116"/>
      <c r="AJ14" s="108"/>
      <c r="AK14" s="10"/>
      <c r="AL14" s="10"/>
      <c r="AM14" s="10"/>
      <c r="AN14" s="10"/>
      <c r="AO14" s="10"/>
      <c r="AP14" s="10"/>
      <c r="AQ14" s="11"/>
      <c r="AR14" s="116"/>
      <c r="AS14" s="108"/>
      <c r="AT14" s="10"/>
      <c r="AU14" s="10"/>
      <c r="AV14" s="10"/>
      <c r="AW14" s="10"/>
      <c r="AX14" s="10"/>
      <c r="AY14" s="10"/>
      <c r="AZ14" s="11"/>
      <c r="BB14" s="36"/>
      <c r="BL14" s="37"/>
    </row>
    <row r="15">
      <c r="B15" s="16"/>
      <c r="C15" s="17"/>
      <c r="D15" s="17"/>
      <c r="E15" s="17"/>
      <c r="F15" s="17"/>
      <c r="G15" s="17"/>
      <c r="H15" s="17"/>
      <c r="I15" s="17"/>
      <c r="J15" s="17"/>
      <c r="K15" s="17"/>
      <c r="L15" s="18"/>
      <c r="N15" s="40"/>
      <c r="O15" s="10"/>
      <c r="P15" s="10"/>
      <c r="Q15" s="10"/>
      <c r="R15" s="10"/>
      <c r="S15" s="11"/>
      <c r="T15" s="41"/>
      <c r="U15" s="11"/>
      <c r="V15" s="41"/>
      <c r="W15" s="11"/>
      <c r="X15" s="41"/>
      <c r="Y15" s="11"/>
      <c r="AA15" s="108"/>
      <c r="AB15" s="10"/>
      <c r="AC15" s="10"/>
      <c r="AD15" s="10"/>
      <c r="AE15" s="10"/>
      <c r="AF15" s="10"/>
      <c r="AG15" s="10"/>
      <c r="AH15" s="11"/>
      <c r="AI15" s="116"/>
      <c r="AJ15" s="108"/>
      <c r="AK15" s="10"/>
      <c r="AL15" s="10"/>
      <c r="AM15" s="10"/>
      <c r="AN15" s="10"/>
      <c r="AO15" s="10"/>
      <c r="AP15" s="10"/>
      <c r="AQ15" s="11"/>
      <c r="AR15" s="116"/>
      <c r="AS15" s="108"/>
      <c r="AT15" s="10"/>
      <c r="AU15" s="10"/>
      <c r="AV15" s="10"/>
      <c r="AW15" s="10"/>
      <c r="AX15" s="10"/>
      <c r="AY15" s="10"/>
      <c r="AZ15" s="11"/>
      <c r="BB15" s="36"/>
      <c r="BL15" s="37"/>
    </row>
    <row r="16">
      <c r="B16" s="22" t="s">
        <v>160</v>
      </c>
      <c r="C16" s="4"/>
      <c r="D16" s="4"/>
      <c r="E16" s="4"/>
      <c r="F16" s="4"/>
      <c r="G16" s="4"/>
      <c r="H16" s="4"/>
      <c r="I16" s="4"/>
      <c r="J16" s="4"/>
      <c r="K16" s="4"/>
      <c r="L16" s="5"/>
      <c r="N16" s="40"/>
      <c r="O16" s="10"/>
      <c r="P16" s="10"/>
      <c r="Q16" s="10"/>
      <c r="R16" s="10"/>
      <c r="S16" s="11"/>
      <c r="T16" s="41"/>
      <c r="U16" s="11"/>
      <c r="V16" s="41"/>
      <c r="W16" s="11"/>
      <c r="X16" s="41"/>
      <c r="Y16" s="11"/>
      <c r="AA16" s="108"/>
      <c r="AB16" s="10"/>
      <c r="AC16" s="10"/>
      <c r="AD16" s="10"/>
      <c r="AE16" s="10"/>
      <c r="AF16" s="10"/>
      <c r="AG16" s="10"/>
      <c r="AH16" s="11"/>
      <c r="AI16" s="116"/>
      <c r="AJ16" s="108"/>
      <c r="AK16" s="10"/>
      <c r="AL16" s="10"/>
      <c r="AM16" s="10"/>
      <c r="AN16" s="10"/>
      <c r="AO16" s="10"/>
      <c r="AP16" s="10"/>
      <c r="AQ16" s="11"/>
      <c r="AR16" s="116"/>
      <c r="AS16" s="108"/>
      <c r="AT16" s="10"/>
      <c r="AU16" s="10"/>
      <c r="AV16" s="10"/>
      <c r="AW16" s="10"/>
      <c r="AX16" s="10"/>
      <c r="AY16" s="10"/>
      <c r="AZ16" s="11"/>
      <c r="BB16" s="36"/>
      <c r="BL16" s="37"/>
    </row>
    <row r="17">
      <c r="B17" s="16"/>
      <c r="C17" s="17"/>
      <c r="D17" s="17"/>
      <c r="E17" s="17"/>
      <c r="F17" s="17"/>
      <c r="G17" s="17"/>
      <c r="H17" s="17"/>
      <c r="I17" s="17"/>
      <c r="J17" s="17"/>
      <c r="K17" s="17"/>
      <c r="L17" s="18"/>
      <c r="N17" s="40"/>
      <c r="O17" s="10"/>
      <c r="P17" s="10"/>
      <c r="Q17" s="10"/>
      <c r="R17" s="10"/>
      <c r="S17" s="11"/>
      <c r="T17" s="41"/>
      <c r="U17" s="11"/>
      <c r="V17" s="41"/>
      <c r="W17" s="11"/>
      <c r="X17" s="41"/>
      <c r="Y17" s="11"/>
      <c r="AA17" s="108"/>
      <c r="AB17" s="10"/>
      <c r="AC17" s="10"/>
      <c r="AD17" s="10"/>
      <c r="AE17" s="10"/>
      <c r="AF17" s="10"/>
      <c r="AG17" s="10"/>
      <c r="AH17" s="11"/>
      <c r="AI17" s="116"/>
      <c r="AJ17" s="108"/>
      <c r="AK17" s="10"/>
      <c r="AL17" s="10"/>
      <c r="AM17" s="10"/>
      <c r="AN17" s="10"/>
      <c r="AO17" s="10"/>
      <c r="AP17" s="10"/>
      <c r="AQ17" s="11"/>
      <c r="AR17" s="116"/>
      <c r="AS17" s="108"/>
      <c r="AT17" s="10"/>
      <c r="AU17" s="10"/>
      <c r="AV17" s="10"/>
      <c r="AW17" s="10"/>
      <c r="AX17" s="10"/>
      <c r="AY17" s="10"/>
      <c r="AZ17" s="11"/>
      <c r="BB17" s="16"/>
      <c r="BC17" s="17"/>
      <c r="BD17" s="17"/>
      <c r="BE17" s="17"/>
      <c r="BF17" s="17"/>
      <c r="BG17" s="17"/>
      <c r="BH17" s="17"/>
      <c r="BI17" s="17"/>
      <c r="BJ17" s="17"/>
      <c r="BK17" s="17"/>
      <c r="BL17" s="18"/>
    </row>
    <row r="18">
      <c r="B18" s="27" t="s">
        <v>173</v>
      </c>
      <c r="C18" s="4"/>
      <c r="D18" s="4"/>
      <c r="E18" s="4"/>
      <c r="F18" s="5"/>
      <c r="G18" s="119"/>
      <c r="H18" s="4"/>
      <c r="I18" s="4"/>
      <c r="J18" s="4"/>
      <c r="K18" s="5"/>
      <c r="L18" s="120"/>
      <c r="N18" s="40"/>
      <c r="O18" s="10"/>
      <c r="P18" s="10"/>
      <c r="Q18" s="10"/>
      <c r="R18" s="10"/>
      <c r="S18" s="11"/>
      <c r="T18" s="41"/>
      <c r="U18" s="11"/>
      <c r="V18" s="41"/>
      <c r="W18" s="11"/>
      <c r="X18" s="41"/>
      <c r="Y18" s="11"/>
      <c r="AA18" s="109" t="s">
        <v>174</v>
      </c>
      <c r="AB18" s="10"/>
      <c r="AC18" s="10"/>
      <c r="AD18" s="10"/>
      <c r="AE18" s="10"/>
      <c r="AF18" s="10"/>
      <c r="AG18" s="10"/>
      <c r="AH18" s="11"/>
      <c r="AI18" s="116"/>
      <c r="AJ18" s="109" t="s">
        <v>175</v>
      </c>
      <c r="AK18" s="10"/>
      <c r="AL18" s="10"/>
      <c r="AM18" s="10"/>
      <c r="AN18" s="10"/>
      <c r="AO18" s="10"/>
      <c r="AP18" s="10"/>
      <c r="AQ18" s="11"/>
      <c r="AR18" s="116"/>
      <c r="AS18" s="109" t="s">
        <v>176</v>
      </c>
      <c r="AT18" s="10"/>
      <c r="AU18" s="10"/>
      <c r="AV18" s="10"/>
      <c r="AW18" s="10"/>
      <c r="AX18" s="10"/>
      <c r="AY18" s="10"/>
      <c r="AZ18" s="11"/>
      <c r="BB18" s="114"/>
    </row>
    <row r="19">
      <c r="B19" s="16"/>
      <c r="C19" s="17"/>
      <c r="D19" s="17"/>
      <c r="E19" s="17"/>
      <c r="F19" s="18"/>
      <c r="G19" s="16"/>
      <c r="H19" s="17"/>
      <c r="I19" s="17"/>
      <c r="J19" s="17"/>
      <c r="K19" s="18"/>
      <c r="L19" s="37"/>
      <c r="N19" s="40"/>
      <c r="O19" s="10"/>
      <c r="P19" s="10"/>
      <c r="Q19" s="10"/>
      <c r="R19" s="10"/>
      <c r="S19" s="11"/>
      <c r="T19" s="41"/>
      <c r="U19" s="11"/>
      <c r="V19" s="41"/>
      <c r="W19" s="11"/>
      <c r="X19" s="41"/>
      <c r="Y19" s="11"/>
      <c r="AA19" s="108"/>
      <c r="AB19" s="10"/>
      <c r="AC19" s="10"/>
      <c r="AD19" s="10"/>
      <c r="AE19" s="10"/>
      <c r="AF19" s="10"/>
      <c r="AG19" s="10"/>
      <c r="AH19" s="11"/>
      <c r="AI19" s="116"/>
      <c r="AJ19" s="108"/>
      <c r="AK19" s="10"/>
      <c r="AL19" s="10"/>
      <c r="AM19" s="10"/>
      <c r="AN19" s="10"/>
      <c r="AO19" s="10"/>
      <c r="AP19" s="10"/>
      <c r="AQ19" s="11"/>
      <c r="AR19" s="116"/>
      <c r="AS19" s="108"/>
      <c r="AT19" s="10"/>
      <c r="AU19" s="10"/>
      <c r="AV19" s="10"/>
      <c r="AW19" s="10"/>
      <c r="AX19" s="10"/>
      <c r="AY19" s="10"/>
      <c r="AZ19" s="11"/>
      <c r="BB19" s="22" t="s">
        <v>177</v>
      </c>
      <c r="BC19" s="4"/>
      <c r="BD19" s="4"/>
      <c r="BE19" s="4"/>
      <c r="BF19" s="4"/>
      <c r="BG19" s="4"/>
      <c r="BH19" s="4"/>
      <c r="BI19" s="4"/>
      <c r="BJ19" s="4"/>
      <c r="BK19" s="4"/>
      <c r="BL19" s="5"/>
    </row>
    <row r="20">
      <c r="B20" s="27" t="s">
        <v>178</v>
      </c>
      <c r="C20" s="4"/>
      <c r="D20" s="4"/>
      <c r="E20" s="4"/>
      <c r="F20" s="5"/>
      <c r="G20" s="119"/>
      <c r="H20" s="4"/>
      <c r="I20" s="4"/>
      <c r="J20" s="4"/>
      <c r="K20" s="5"/>
      <c r="L20" s="37"/>
      <c r="N20" s="40"/>
      <c r="O20" s="10"/>
      <c r="P20" s="10"/>
      <c r="Q20" s="10"/>
      <c r="R20" s="10"/>
      <c r="S20" s="11"/>
      <c r="T20" s="41"/>
      <c r="U20" s="11"/>
      <c r="V20" s="41"/>
      <c r="W20" s="11"/>
      <c r="X20" s="41"/>
      <c r="Y20" s="11"/>
      <c r="AA20" s="108"/>
      <c r="AB20" s="10"/>
      <c r="AC20" s="10"/>
      <c r="AD20" s="10"/>
      <c r="AE20" s="10"/>
      <c r="AF20" s="10"/>
      <c r="AG20" s="10"/>
      <c r="AH20" s="11"/>
      <c r="AI20" s="116"/>
      <c r="AJ20" s="108"/>
      <c r="AK20" s="10"/>
      <c r="AL20" s="10"/>
      <c r="AM20" s="10"/>
      <c r="AN20" s="10"/>
      <c r="AO20" s="10"/>
      <c r="AP20" s="10"/>
      <c r="AQ20" s="11"/>
      <c r="AR20" s="116"/>
      <c r="AS20" s="108"/>
      <c r="AT20" s="10"/>
      <c r="AU20" s="10"/>
      <c r="AV20" s="10"/>
      <c r="AW20" s="10"/>
      <c r="AX20" s="10"/>
      <c r="AY20" s="10"/>
      <c r="AZ20" s="11"/>
      <c r="BB20" s="16"/>
      <c r="BC20" s="17"/>
      <c r="BD20" s="17"/>
      <c r="BE20" s="17"/>
      <c r="BF20" s="17"/>
      <c r="BG20" s="17"/>
      <c r="BH20" s="17"/>
      <c r="BI20" s="17"/>
      <c r="BJ20" s="17"/>
      <c r="BK20" s="17"/>
      <c r="BL20" s="18"/>
    </row>
    <row r="21">
      <c r="B21" s="16"/>
      <c r="C21" s="17"/>
      <c r="D21" s="17"/>
      <c r="E21" s="17"/>
      <c r="F21" s="18"/>
      <c r="G21" s="16"/>
      <c r="H21" s="17"/>
      <c r="I21" s="17"/>
      <c r="J21" s="17"/>
      <c r="K21" s="18"/>
      <c r="L21" s="37"/>
      <c r="N21" s="40"/>
      <c r="O21" s="10"/>
      <c r="P21" s="10"/>
      <c r="Q21" s="10"/>
      <c r="R21" s="10"/>
      <c r="S21" s="11"/>
      <c r="T21" s="41"/>
      <c r="U21" s="11"/>
      <c r="V21" s="41"/>
      <c r="W21" s="11"/>
      <c r="X21" s="41"/>
      <c r="Y21" s="11"/>
      <c r="AA21" s="108"/>
      <c r="AB21" s="10"/>
      <c r="AC21" s="10"/>
      <c r="AD21" s="10"/>
      <c r="AE21" s="10"/>
      <c r="AF21" s="10"/>
      <c r="AG21" s="10"/>
      <c r="AH21" s="11"/>
      <c r="AI21" s="116"/>
      <c r="AJ21" s="108"/>
      <c r="AK21" s="10"/>
      <c r="AL21" s="10"/>
      <c r="AM21" s="10"/>
      <c r="AN21" s="10"/>
      <c r="AO21" s="10"/>
      <c r="AP21" s="10"/>
      <c r="AQ21" s="11"/>
      <c r="AR21" s="116"/>
      <c r="AS21" s="108"/>
      <c r="AT21" s="10"/>
      <c r="AU21" s="10"/>
      <c r="AV21" s="10"/>
      <c r="AW21" s="10"/>
      <c r="AX21" s="10"/>
      <c r="AY21" s="10"/>
      <c r="AZ21" s="11"/>
      <c r="BB21" s="9" t="s">
        <v>165</v>
      </c>
      <c r="BC21" s="10"/>
      <c r="BD21" s="10"/>
      <c r="BE21" s="10"/>
      <c r="BF21" s="10"/>
      <c r="BG21" s="10"/>
      <c r="BH21" s="10"/>
      <c r="BI21" s="10"/>
      <c r="BJ21" s="10"/>
      <c r="BK21" s="10"/>
      <c r="BL21" s="11"/>
    </row>
    <row r="22">
      <c r="B22" s="109" t="s">
        <v>179</v>
      </c>
      <c r="C22" s="10"/>
      <c r="D22" s="10"/>
      <c r="E22" s="10"/>
      <c r="F22" s="11"/>
      <c r="G22" s="120"/>
      <c r="H22" s="109" t="s">
        <v>180</v>
      </c>
      <c r="I22" s="10"/>
      <c r="J22" s="10"/>
      <c r="K22" s="10"/>
      <c r="L22" s="11"/>
      <c r="N22" s="40"/>
      <c r="O22" s="10"/>
      <c r="P22" s="10"/>
      <c r="Q22" s="10"/>
      <c r="R22" s="10"/>
      <c r="S22" s="11"/>
      <c r="T22" s="41"/>
      <c r="U22" s="11"/>
      <c r="V22" s="41"/>
      <c r="W22" s="11"/>
      <c r="X22" s="41"/>
      <c r="Y22" s="11"/>
      <c r="AA22" s="108"/>
      <c r="AB22" s="10"/>
      <c r="AC22" s="10"/>
      <c r="AD22" s="10"/>
      <c r="AE22" s="10"/>
      <c r="AF22" s="10"/>
      <c r="AG22" s="10"/>
      <c r="AH22" s="11"/>
      <c r="AI22" s="116"/>
      <c r="AJ22" s="108"/>
      <c r="AK22" s="10"/>
      <c r="AL22" s="10"/>
      <c r="AM22" s="10"/>
      <c r="AN22" s="10"/>
      <c r="AO22" s="10"/>
      <c r="AP22" s="10"/>
      <c r="AQ22" s="11"/>
      <c r="AR22" s="116"/>
      <c r="AS22" s="108"/>
      <c r="AT22" s="10"/>
      <c r="AU22" s="10"/>
      <c r="AV22" s="10"/>
      <c r="AW22" s="10"/>
      <c r="AX22" s="10"/>
      <c r="AY22" s="10"/>
      <c r="AZ22" s="11"/>
      <c r="BB22" s="19"/>
      <c r="BC22" s="4"/>
      <c r="BD22" s="4"/>
      <c r="BE22" s="4"/>
      <c r="BF22" s="4"/>
      <c r="BG22" s="4"/>
      <c r="BH22" s="4"/>
      <c r="BI22" s="4"/>
      <c r="BJ22" s="4"/>
      <c r="BK22" s="4"/>
      <c r="BL22" s="5"/>
    </row>
    <row r="23">
      <c r="B23" s="121"/>
      <c r="C23" s="122" t="s">
        <v>27</v>
      </c>
      <c r="D23" s="10"/>
      <c r="E23" s="11"/>
      <c r="F23" s="120"/>
      <c r="G23" s="37"/>
      <c r="H23" s="123"/>
      <c r="I23" s="122" t="s">
        <v>27</v>
      </c>
      <c r="J23" s="10"/>
      <c r="K23" s="11"/>
      <c r="L23" s="123"/>
      <c r="N23" s="40"/>
      <c r="O23" s="10"/>
      <c r="P23" s="10"/>
      <c r="Q23" s="10"/>
      <c r="R23" s="10"/>
      <c r="S23" s="11"/>
      <c r="T23" s="41"/>
      <c r="U23" s="11"/>
      <c r="V23" s="41"/>
      <c r="W23" s="11"/>
      <c r="X23" s="41"/>
      <c r="Y23" s="11"/>
      <c r="AA23" s="108"/>
      <c r="AB23" s="10"/>
      <c r="AC23" s="10"/>
      <c r="AD23" s="10"/>
      <c r="AE23" s="10"/>
      <c r="AF23" s="10"/>
      <c r="AG23" s="10"/>
      <c r="AH23" s="11"/>
      <c r="AI23" s="116"/>
      <c r="AJ23" s="108"/>
      <c r="AK23" s="10"/>
      <c r="AL23" s="10"/>
      <c r="AM23" s="10"/>
      <c r="AN23" s="10"/>
      <c r="AO23" s="10"/>
      <c r="AP23" s="10"/>
      <c r="AQ23" s="11"/>
      <c r="AR23" s="116"/>
      <c r="AS23" s="108"/>
      <c r="AT23" s="10"/>
      <c r="AU23" s="10"/>
      <c r="AV23" s="10"/>
      <c r="AW23" s="10"/>
      <c r="AX23" s="10"/>
      <c r="AY23" s="10"/>
      <c r="AZ23" s="11"/>
      <c r="BB23" s="16"/>
      <c r="BC23" s="17"/>
      <c r="BD23" s="17"/>
      <c r="BE23" s="17"/>
      <c r="BF23" s="17"/>
      <c r="BG23" s="17"/>
      <c r="BH23" s="17"/>
      <c r="BI23" s="17"/>
      <c r="BJ23" s="17"/>
      <c r="BK23" s="17"/>
      <c r="BL23" s="18"/>
    </row>
    <row r="24">
      <c r="B24" s="121"/>
      <c r="C24" s="124">
        <f>10+SWITCH(E28, "F", For, "D", Des, "C", Con, "I", Int, "S", Sab, "P", Pre, 0)+E29+E30+'Ficha Pessoal'!BH3</f>
        <v>12</v>
      </c>
      <c r="D24" s="4"/>
      <c r="E24" s="5"/>
      <c r="F24" s="120"/>
      <c r="G24" s="37"/>
      <c r="H24" s="116"/>
      <c r="I24" s="124">
        <f>10+SWITCH(K28, "F", For, "D", Des, "C", Con, "I", Int, "S", Sab, "P", Pre, 0)+K29+K30+'Ficha Pessoal'!BH3</f>
        <v>12</v>
      </c>
      <c r="J24" s="4"/>
      <c r="K24" s="5"/>
      <c r="L24" s="116"/>
      <c r="N24" s="40"/>
      <c r="O24" s="10"/>
      <c r="P24" s="10"/>
      <c r="Q24" s="10"/>
      <c r="R24" s="10"/>
      <c r="S24" s="11"/>
      <c r="T24" s="41"/>
      <c r="U24" s="11"/>
      <c r="V24" s="41"/>
      <c r="W24" s="11"/>
      <c r="X24" s="41"/>
      <c r="Y24" s="11"/>
      <c r="AA24" s="108"/>
      <c r="AB24" s="10"/>
      <c r="AC24" s="10"/>
      <c r="AD24" s="10"/>
      <c r="AE24" s="10"/>
      <c r="AF24" s="10"/>
      <c r="AG24" s="10"/>
      <c r="AH24" s="11"/>
      <c r="AI24" s="116"/>
      <c r="AJ24" s="108"/>
      <c r="AK24" s="10"/>
      <c r="AL24" s="10"/>
      <c r="AM24" s="10"/>
      <c r="AN24" s="10"/>
      <c r="AO24" s="10"/>
      <c r="AP24" s="10"/>
      <c r="AQ24" s="11"/>
      <c r="AR24" s="116"/>
      <c r="AS24" s="108"/>
      <c r="AT24" s="10"/>
      <c r="AU24" s="10"/>
      <c r="AV24" s="10"/>
      <c r="AW24" s="10"/>
      <c r="AX24" s="10"/>
      <c r="AY24" s="10"/>
      <c r="AZ24" s="11"/>
      <c r="BB24" s="9" t="s">
        <v>181</v>
      </c>
      <c r="BC24" s="10"/>
      <c r="BD24" s="10"/>
      <c r="BE24" s="10"/>
      <c r="BF24" s="10"/>
      <c r="BG24" s="10"/>
      <c r="BH24" s="10"/>
      <c r="BI24" s="10"/>
      <c r="BJ24" s="10"/>
      <c r="BK24" s="10"/>
      <c r="BL24" s="11"/>
    </row>
    <row r="25">
      <c r="B25" s="121"/>
      <c r="C25" s="36"/>
      <c r="E25" s="37"/>
      <c r="F25" s="120"/>
      <c r="G25" s="37"/>
      <c r="H25" s="116"/>
      <c r="I25" s="36"/>
      <c r="K25" s="37"/>
      <c r="L25" s="116"/>
      <c r="N25" s="40"/>
      <c r="O25" s="10"/>
      <c r="P25" s="10"/>
      <c r="Q25" s="10"/>
      <c r="R25" s="10"/>
      <c r="S25" s="11"/>
      <c r="T25" s="41"/>
      <c r="U25" s="11"/>
      <c r="V25" s="41"/>
      <c r="W25" s="11"/>
      <c r="X25" s="41"/>
      <c r="Y25" s="11"/>
      <c r="AA25" s="108"/>
      <c r="AB25" s="10"/>
      <c r="AC25" s="10"/>
      <c r="AD25" s="10"/>
      <c r="AE25" s="10"/>
      <c r="AF25" s="10"/>
      <c r="AG25" s="10"/>
      <c r="AH25" s="11"/>
      <c r="AI25" s="116"/>
      <c r="AJ25" s="108"/>
      <c r="AK25" s="10"/>
      <c r="AL25" s="10"/>
      <c r="AM25" s="10"/>
      <c r="AN25" s="10"/>
      <c r="AO25" s="10"/>
      <c r="AP25" s="10"/>
      <c r="AQ25" s="11"/>
      <c r="AR25" s="116"/>
      <c r="AS25" s="108"/>
      <c r="AT25" s="10"/>
      <c r="AU25" s="10"/>
      <c r="AV25" s="10"/>
      <c r="AW25" s="10"/>
      <c r="AX25" s="10"/>
      <c r="AY25" s="10"/>
      <c r="AZ25" s="11"/>
      <c r="BB25" s="117"/>
      <c r="BC25" s="4"/>
      <c r="BD25" s="4"/>
      <c r="BE25" s="4"/>
      <c r="BF25" s="4"/>
      <c r="BG25" s="4"/>
      <c r="BH25" s="4"/>
      <c r="BI25" s="4"/>
      <c r="BJ25" s="4"/>
      <c r="BK25" s="4"/>
      <c r="BL25" s="5"/>
    </row>
    <row r="26">
      <c r="B26" s="121"/>
      <c r="C26" s="36"/>
      <c r="E26" s="37"/>
      <c r="F26" s="120"/>
      <c r="G26" s="120"/>
      <c r="H26" s="116"/>
      <c r="I26" s="36"/>
      <c r="K26" s="37"/>
      <c r="L26" s="116"/>
      <c r="N26" s="40"/>
      <c r="O26" s="10"/>
      <c r="P26" s="10"/>
      <c r="Q26" s="10"/>
      <c r="R26" s="10"/>
      <c r="S26" s="11"/>
      <c r="T26" s="41"/>
      <c r="U26" s="11"/>
      <c r="V26" s="41"/>
      <c r="W26" s="11"/>
      <c r="X26" s="41"/>
      <c r="Y26" s="11"/>
      <c r="AA26" s="108"/>
      <c r="AB26" s="10"/>
      <c r="AC26" s="10"/>
      <c r="AD26" s="10"/>
      <c r="AE26" s="10"/>
      <c r="AF26" s="10"/>
      <c r="AG26" s="10"/>
      <c r="AH26" s="11"/>
      <c r="AI26" s="116"/>
      <c r="AJ26" s="108"/>
      <c r="AK26" s="10"/>
      <c r="AL26" s="10"/>
      <c r="AM26" s="10"/>
      <c r="AN26" s="10"/>
      <c r="AO26" s="10"/>
      <c r="AP26" s="10"/>
      <c r="AQ26" s="11"/>
      <c r="AR26" s="116"/>
      <c r="AS26" s="108"/>
      <c r="AT26" s="10"/>
      <c r="AU26" s="10"/>
      <c r="AV26" s="10"/>
      <c r="AW26" s="10"/>
      <c r="AX26" s="10"/>
      <c r="AY26" s="10"/>
      <c r="AZ26" s="11"/>
      <c r="BB26" s="36"/>
      <c r="BL26" s="37"/>
    </row>
    <row r="27">
      <c r="B27" s="121"/>
      <c r="C27" s="16"/>
      <c r="D27" s="17"/>
      <c r="E27" s="18"/>
      <c r="F27" s="120"/>
      <c r="G27" s="37"/>
      <c r="H27" s="123"/>
      <c r="I27" s="16"/>
      <c r="J27" s="17"/>
      <c r="K27" s="18"/>
      <c r="L27" s="116"/>
      <c r="N27" s="40"/>
      <c r="O27" s="10"/>
      <c r="P27" s="10"/>
      <c r="Q27" s="10"/>
      <c r="R27" s="10"/>
      <c r="S27" s="11"/>
      <c r="T27" s="41"/>
      <c r="U27" s="11"/>
      <c r="V27" s="41"/>
      <c r="W27" s="11"/>
      <c r="X27" s="41"/>
      <c r="Y27" s="11"/>
      <c r="AA27" s="108"/>
      <c r="AB27" s="10"/>
      <c r="AC27" s="10"/>
      <c r="AD27" s="10"/>
      <c r="AE27" s="10"/>
      <c r="AF27" s="10"/>
      <c r="AG27" s="10"/>
      <c r="AH27" s="11"/>
      <c r="AI27" s="116"/>
      <c r="AJ27" s="108"/>
      <c r="AK27" s="10"/>
      <c r="AL27" s="10"/>
      <c r="AM27" s="10"/>
      <c r="AN27" s="10"/>
      <c r="AO27" s="10"/>
      <c r="AP27" s="10"/>
      <c r="AQ27" s="11"/>
      <c r="AR27" s="116"/>
      <c r="AS27" s="108"/>
      <c r="AT27" s="10"/>
      <c r="AU27" s="10"/>
      <c r="AV27" s="10"/>
      <c r="AW27" s="10"/>
      <c r="AX27" s="10"/>
      <c r="AY27" s="10"/>
      <c r="AZ27" s="11"/>
      <c r="BB27" s="36"/>
      <c r="BL27" s="37"/>
    </row>
    <row r="28">
      <c r="B28" s="121"/>
      <c r="C28" s="125" t="s">
        <v>62</v>
      </c>
      <c r="D28" s="11"/>
      <c r="E28" s="126" t="s">
        <v>182</v>
      </c>
      <c r="F28" s="120"/>
      <c r="G28" s="37"/>
      <c r="H28" s="116"/>
      <c r="I28" s="125" t="s">
        <v>62</v>
      </c>
      <c r="J28" s="11"/>
      <c r="K28" s="126" t="s">
        <v>182</v>
      </c>
      <c r="L28" s="116"/>
      <c r="N28" s="40"/>
      <c r="O28" s="10"/>
      <c r="P28" s="10"/>
      <c r="Q28" s="10"/>
      <c r="R28" s="10"/>
      <c r="S28" s="11"/>
      <c r="T28" s="41"/>
      <c r="U28" s="11"/>
      <c r="V28" s="41"/>
      <c r="W28" s="11"/>
      <c r="X28" s="41"/>
      <c r="Y28" s="11"/>
      <c r="AA28" s="108"/>
      <c r="AB28" s="10"/>
      <c r="AC28" s="10"/>
      <c r="AD28" s="10"/>
      <c r="AE28" s="10"/>
      <c r="AF28" s="10"/>
      <c r="AG28" s="10"/>
      <c r="AH28" s="11"/>
      <c r="AI28" s="81"/>
      <c r="AJ28" s="108"/>
      <c r="AK28" s="10"/>
      <c r="AL28" s="10"/>
      <c r="AM28" s="10"/>
      <c r="AN28" s="10"/>
      <c r="AO28" s="10"/>
      <c r="AP28" s="10"/>
      <c r="AQ28" s="11"/>
      <c r="AR28" s="81"/>
      <c r="AS28" s="108"/>
      <c r="AT28" s="10"/>
      <c r="AU28" s="10"/>
      <c r="AV28" s="10"/>
      <c r="AW28" s="10"/>
      <c r="AX28" s="10"/>
      <c r="AY28" s="10"/>
      <c r="AZ28" s="11"/>
      <c r="BB28" s="36"/>
      <c r="BL28" s="37"/>
    </row>
    <row r="29">
      <c r="B29" s="121"/>
      <c r="C29" s="125" t="s">
        <v>44</v>
      </c>
      <c r="D29" s="11"/>
      <c r="E29" s="101">
        <f>ROUNDDOWN('Ficha Pessoal'!BD3/2,0)</f>
        <v>0</v>
      </c>
      <c r="F29" s="120"/>
      <c r="G29" s="37"/>
      <c r="H29" s="116"/>
      <c r="I29" s="125" t="s">
        <v>44</v>
      </c>
      <c r="J29" s="11"/>
      <c r="K29" s="101">
        <f>ROUNDDOWN('Ficha Pessoal'!BD3/2,0)</f>
        <v>0</v>
      </c>
      <c r="L29" s="116"/>
      <c r="N29" s="40"/>
      <c r="O29" s="10"/>
      <c r="P29" s="10"/>
      <c r="Q29" s="10"/>
      <c r="R29" s="10"/>
      <c r="S29" s="11"/>
      <c r="T29" s="41"/>
      <c r="U29" s="11"/>
      <c r="V29" s="41"/>
      <c r="W29" s="11"/>
      <c r="X29" s="41"/>
      <c r="Y29" s="11"/>
      <c r="AA29" s="114"/>
      <c r="BB29" s="16"/>
      <c r="BC29" s="17"/>
      <c r="BD29" s="17"/>
      <c r="BE29" s="17"/>
      <c r="BF29" s="17"/>
      <c r="BG29" s="17"/>
      <c r="BH29" s="17"/>
      <c r="BI29" s="17"/>
      <c r="BJ29" s="17"/>
      <c r="BK29" s="17"/>
      <c r="BL29" s="18"/>
    </row>
    <row r="30">
      <c r="B30" s="121"/>
      <c r="C30" s="127" t="s">
        <v>45</v>
      </c>
      <c r="D30" s="5"/>
      <c r="E30" s="128">
        <v>0.0</v>
      </c>
      <c r="F30" s="120"/>
      <c r="G30" s="120"/>
      <c r="H30" s="81"/>
      <c r="I30" s="125" t="s">
        <v>45</v>
      </c>
      <c r="J30" s="11"/>
      <c r="K30" s="12">
        <v>0.0</v>
      </c>
      <c r="L30" s="116"/>
      <c r="N30" s="40"/>
      <c r="O30" s="10"/>
      <c r="P30" s="10"/>
      <c r="Q30" s="10"/>
      <c r="R30" s="10"/>
      <c r="S30" s="11"/>
      <c r="T30" s="41"/>
      <c r="U30" s="11"/>
      <c r="V30" s="41"/>
      <c r="W30" s="11"/>
      <c r="X30" s="41"/>
      <c r="Y30" s="11"/>
      <c r="AA30" s="25" t="s">
        <v>183</v>
      </c>
      <c r="AB30" s="4"/>
      <c r="AC30" s="4"/>
      <c r="AD30" s="4"/>
      <c r="AE30" s="4"/>
      <c r="AF30" s="4"/>
      <c r="AG30" s="4"/>
      <c r="AH30" s="4"/>
      <c r="AI30" s="4"/>
      <c r="AJ30" s="4"/>
      <c r="AK30" s="4"/>
      <c r="AL30" s="4"/>
      <c r="AM30" s="4"/>
      <c r="AN30" s="4"/>
      <c r="AO30" s="4"/>
      <c r="AP30" s="4"/>
      <c r="AQ30" s="4"/>
      <c r="AR30" s="4"/>
      <c r="AS30" s="4"/>
      <c r="AT30" s="4"/>
      <c r="AU30" s="4"/>
      <c r="AV30" s="4"/>
      <c r="AW30" s="4"/>
      <c r="AX30" s="4"/>
      <c r="AY30" s="4"/>
      <c r="AZ30" s="5"/>
      <c r="BB30" s="114"/>
      <c r="BC30" s="114"/>
      <c r="BD30" s="114"/>
      <c r="BE30" s="24"/>
      <c r="BF30" s="24"/>
      <c r="BG30" s="24"/>
      <c r="BH30" s="24"/>
      <c r="BI30" s="24"/>
      <c r="BJ30" s="114"/>
      <c r="BK30" s="114"/>
      <c r="BL30" s="114"/>
    </row>
    <row r="31">
      <c r="B31" s="129"/>
      <c r="C31" s="130"/>
      <c r="D31" s="17"/>
      <c r="E31" s="17"/>
      <c r="F31" s="131"/>
      <c r="G31" s="120"/>
      <c r="H31" s="129"/>
      <c r="I31" s="17"/>
      <c r="J31" s="17"/>
      <c r="K31" s="17"/>
      <c r="L31" s="81"/>
      <c r="N31" s="40"/>
      <c r="O31" s="10"/>
      <c r="P31" s="10"/>
      <c r="Q31" s="10"/>
      <c r="R31" s="10"/>
      <c r="S31" s="11"/>
      <c r="T31" s="41"/>
      <c r="U31" s="11"/>
      <c r="V31" s="41"/>
      <c r="W31" s="11"/>
      <c r="X31" s="41"/>
      <c r="Y31" s="11"/>
      <c r="AA31" s="16"/>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8"/>
      <c r="BB31" s="114"/>
      <c r="BC31" s="114"/>
      <c r="BD31" s="114"/>
      <c r="BE31" s="24"/>
      <c r="BF31" s="24"/>
      <c r="BG31" s="24"/>
      <c r="BH31" s="24"/>
      <c r="BI31" s="24"/>
      <c r="BJ31" s="114"/>
      <c r="BK31" s="114"/>
      <c r="BL31" s="114"/>
    </row>
    <row r="32">
      <c r="B32" s="114"/>
      <c r="C32" s="114"/>
      <c r="D32" s="114"/>
      <c r="E32" s="114"/>
      <c r="F32" s="114"/>
      <c r="G32" s="114"/>
      <c r="H32" s="114"/>
      <c r="I32" s="114"/>
      <c r="J32" s="114"/>
      <c r="K32" s="114"/>
      <c r="L32" s="114"/>
      <c r="N32" s="40"/>
      <c r="O32" s="10"/>
      <c r="P32" s="10"/>
      <c r="Q32" s="10"/>
      <c r="R32" s="10"/>
      <c r="S32" s="11"/>
      <c r="T32" s="41"/>
      <c r="U32" s="11"/>
      <c r="V32" s="41"/>
      <c r="W32" s="11"/>
      <c r="X32" s="41"/>
      <c r="Y32" s="11"/>
      <c r="AA32" s="115"/>
      <c r="AB32" s="132">
        <v>0.0</v>
      </c>
      <c r="AC32" s="4"/>
      <c r="AD32" s="4"/>
      <c r="AE32" s="5"/>
      <c r="AF32" s="133"/>
      <c r="AG32" s="134">
        <v>0.0</v>
      </c>
      <c r="AH32" s="4"/>
      <c r="AI32" s="4"/>
      <c r="AJ32" s="5"/>
      <c r="AK32" s="133"/>
      <c r="AL32" s="134">
        <v>0.0</v>
      </c>
      <c r="AM32" s="4"/>
      <c r="AN32" s="4"/>
      <c r="AO32" s="5"/>
      <c r="AP32" s="115"/>
      <c r="AQ32" s="132">
        <v>0.0</v>
      </c>
      <c r="AR32" s="4"/>
      <c r="AS32" s="4"/>
      <c r="AT32" s="5"/>
      <c r="AU32" s="115"/>
      <c r="AV32" s="132">
        <v>0.0</v>
      </c>
      <c r="AW32" s="4"/>
      <c r="AX32" s="4"/>
      <c r="AY32" s="5"/>
      <c r="AZ32" s="115"/>
      <c r="BB32" s="114"/>
      <c r="BC32" s="114"/>
      <c r="BD32" s="114"/>
      <c r="BE32" s="24"/>
      <c r="BF32" s="24"/>
      <c r="BG32" s="24"/>
      <c r="BH32" s="24"/>
      <c r="BI32" s="24"/>
      <c r="BJ32" s="114"/>
      <c r="BK32" s="114"/>
      <c r="BL32" s="114"/>
    </row>
    <row r="33">
      <c r="B33" s="114"/>
      <c r="C33" s="114"/>
      <c r="D33" s="114"/>
      <c r="E33" s="114"/>
      <c r="F33" s="114"/>
      <c r="G33" s="114"/>
      <c r="H33" s="114"/>
      <c r="I33" s="114"/>
      <c r="J33" s="114"/>
      <c r="K33" s="114"/>
      <c r="L33" s="114"/>
      <c r="N33" s="40"/>
      <c r="O33" s="10"/>
      <c r="P33" s="10"/>
      <c r="Q33" s="10"/>
      <c r="R33" s="10"/>
      <c r="S33" s="11"/>
      <c r="T33" s="41"/>
      <c r="U33" s="11"/>
      <c r="V33" s="41"/>
      <c r="W33" s="11"/>
      <c r="X33" s="41"/>
      <c r="Y33" s="11"/>
      <c r="AA33" s="116"/>
      <c r="AB33" s="36"/>
      <c r="AE33" s="37"/>
      <c r="AF33" s="116"/>
      <c r="AG33" s="36"/>
      <c r="AJ33" s="37"/>
      <c r="AK33" s="116"/>
      <c r="AL33" s="36"/>
      <c r="AO33" s="37"/>
      <c r="AP33" s="116"/>
      <c r="AQ33" s="36"/>
      <c r="AT33" s="37"/>
      <c r="AU33" s="116"/>
      <c r="AV33" s="36"/>
      <c r="AY33" s="37"/>
      <c r="AZ33" s="116"/>
      <c r="BB33" s="114"/>
      <c r="BC33" s="114"/>
      <c r="BD33" s="114"/>
      <c r="BE33" s="24"/>
      <c r="BF33" s="24"/>
      <c r="BG33" s="24"/>
      <c r="BH33" s="24"/>
      <c r="BI33" s="24"/>
      <c r="BJ33" s="114"/>
      <c r="BK33" s="114"/>
      <c r="BL33" s="114"/>
    </row>
    <row r="34">
      <c r="B34" s="114"/>
      <c r="C34" s="114"/>
      <c r="D34" s="114"/>
      <c r="E34" s="114"/>
      <c r="F34" s="114"/>
      <c r="G34" s="114"/>
      <c r="H34" s="114"/>
      <c r="I34" s="114"/>
      <c r="J34" s="114"/>
      <c r="K34" s="114"/>
      <c r="L34" s="114"/>
      <c r="N34" s="40"/>
      <c r="O34" s="10"/>
      <c r="P34" s="10"/>
      <c r="Q34" s="10"/>
      <c r="R34" s="10"/>
      <c r="S34" s="11"/>
      <c r="T34" s="41"/>
      <c r="U34" s="11"/>
      <c r="V34" s="41"/>
      <c r="W34" s="11"/>
      <c r="X34" s="41"/>
      <c r="Y34" s="11"/>
      <c r="AA34" s="116"/>
      <c r="AB34" s="16"/>
      <c r="AC34" s="17"/>
      <c r="AD34" s="17"/>
      <c r="AE34" s="18"/>
      <c r="AF34" s="116"/>
      <c r="AG34" s="16"/>
      <c r="AH34" s="17"/>
      <c r="AI34" s="17"/>
      <c r="AJ34" s="18"/>
      <c r="AK34" s="116"/>
      <c r="AL34" s="16"/>
      <c r="AM34" s="17"/>
      <c r="AN34" s="17"/>
      <c r="AO34" s="18"/>
      <c r="AP34" s="116"/>
      <c r="AQ34" s="16"/>
      <c r="AR34" s="17"/>
      <c r="AS34" s="17"/>
      <c r="AT34" s="18"/>
      <c r="AU34" s="116"/>
      <c r="AV34" s="16"/>
      <c r="AW34" s="17"/>
      <c r="AX34" s="17"/>
      <c r="AY34" s="18"/>
      <c r="AZ34" s="116"/>
      <c r="BB34" s="114"/>
      <c r="BC34" s="114"/>
      <c r="BD34" s="114"/>
      <c r="BE34" s="24"/>
      <c r="BF34" s="24"/>
      <c r="BG34" s="24"/>
      <c r="BH34" s="24"/>
      <c r="BI34" s="24"/>
      <c r="BJ34" s="114"/>
      <c r="BK34" s="114"/>
      <c r="BL34" s="114"/>
    </row>
    <row r="35">
      <c r="B35" s="114"/>
      <c r="C35" s="114"/>
      <c r="D35" s="114"/>
      <c r="E35" s="114"/>
      <c r="F35" s="114"/>
      <c r="G35" s="114"/>
      <c r="H35" s="114"/>
      <c r="I35" s="114"/>
      <c r="J35" s="114"/>
      <c r="K35" s="114"/>
      <c r="L35" s="114"/>
      <c r="N35" s="114"/>
      <c r="AA35" s="116"/>
      <c r="AB35" s="135" t="s">
        <v>184</v>
      </c>
      <c r="AC35" s="4"/>
      <c r="AD35" s="4"/>
      <c r="AE35" s="5"/>
      <c r="AF35" s="116"/>
      <c r="AG35" s="136" t="s">
        <v>185</v>
      </c>
      <c r="AH35" s="4"/>
      <c r="AI35" s="4"/>
      <c r="AJ35" s="5"/>
      <c r="AK35" s="116"/>
      <c r="AL35" s="136" t="s">
        <v>186</v>
      </c>
      <c r="AM35" s="4"/>
      <c r="AN35" s="4"/>
      <c r="AO35" s="5"/>
      <c r="AP35" s="116"/>
      <c r="AQ35" s="137" t="s">
        <v>187</v>
      </c>
      <c r="AR35" s="4"/>
      <c r="AS35" s="4"/>
      <c r="AT35" s="5"/>
      <c r="AU35" s="116"/>
      <c r="AV35" s="137" t="s">
        <v>188</v>
      </c>
      <c r="AW35" s="4"/>
      <c r="AX35" s="4"/>
      <c r="AY35" s="5"/>
      <c r="AZ35" s="116"/>
      <c r="BB35" s="114"/>
      <c r="BC35" s="114"/>
      <c r="BD35" s="114"/>
      <c r="BE35" s="24"/>
      <c r="BF35" s="24"/>
      <c r="BG35" s="24"/>
      <c r="BH35" s="24"/>
      <c r="BI35" s="24"/>
      <c r="BJ35" s="114"/>
      <c r="BK35" s="114"/>
      <c r="BL35" s="114"/>
    </row>
    <row r="36">
      <c r="B36" s="114"/>
      <c r="C36" s="114"/>
      <c r="D36" s="114"/>
      <c r="E36" s="114"/>
      <c r="F36" s="114"/>
      <c r="G36" s="114"/>
      <c r="H36" s="114"/>
      <c r="I36" s="114"/>
      <c r="J36" s="114"/>
      <c r="K36" s="114"/>
      <c r="L36" s="114"/>
      <c r="AA36" s="81"/>
      <c r="AB36" s="16"/>
      <c r="AC36" s="17"/>
      <c r="AD36" s="17"/>
      <c r="AE36" s="18"/>
      <c r="AF36" s="81"/>
      <c r="AG36" s="16"/>
      <c r="AH36" s="17"/>
      <c r="AI36" s="17"/>
      <c r="AJ36" s="18"/>
      <c r="AK36" s="81"/>
      <c r="AL36" s="16"/>
      <c r="AM36" s="17"/>
      <c r="AN36" s="17"/>
      <c r="AO36" s="18"/>
      <c r="AP36" s="81"/>
      <c r="AQ36" s="16"/>
      <c r="AR36" s="17"/>
      <c r="AS36" s="17"/>
      <c r="AT36" s="18"/>
      <c r="AU36" s="81"/>
      <c r="AV36" s="16"/>
      <c r="AW36" s="17"/>
      <c r="AX36" s="17"/>
      <c r="AY36" s="18"/>
      <c r="AZ36" s="81"/>
      <c r="BB36" s="114"/>
      <c r="BC36" s="114"/>
      <c r="BD36" s="114"/>
      <c r="BE36" s="24"/>
      <c r="BF36" s="24"/>
      <c r="BG36" s="24"/>
      <c r="BH36" s="24"/>
      <c r="BI36" s="24"/>
      <c r="BJ36" s="114"/>
      <c r="BK36" s="114"/>
      <c r="BL36" s="114"/>
    </row>
    <row r="37">
      <c r="B37" s="114"/>
      <c r="C37" s="114"/>
      <c r="D37" s="114"/>
      <c r="E37" s="114"/>
      <c r="F37" s="114"/>
      <c r="G37" s="114"/>
      <c r="H37" s="114"/>
      <c r="I37" s="114"/>
      <c r="J37" s="114"/>
      <c r="K37" s="114"/>
      <c r="L37" s="114"/>
      <c r="AA37" s="114"/>
      <c r="BB37" s="114"/>
      <c r="BC37" s="114"/>
      <c r="BD37" s="114"/>
      <c r="BE37" s="24"/>
      <c r="BF37" s="24"/>
      <c r="BG37" s="24"/>
      <c r="BH37" s="24"/>
      <c r="BI37" s="24"/>
      <c r="BJ37" s="114"/>
      <c r="BK37" s="114"/>
      <c r="BL37" s="114"/>
    </row>
    <row r="38">
      <c r="B38" s="114"/>
      <c r="C38" s="114"/>
      <c r="D38" s="114"/>
      <c r="E38" s="114"/>
      <c r="F38" s="114"/>
      <c r="G38" s="114"/>
      <c r="H38" s="114"/>
      <c r="I38" s="114"/>
      <c r="J38" s="114"/>
      <c r="K38" s="114"/>
      <c r="L38" s="114"/>
      <c r="BB38" s="114"/>
      <c r="BC38" s="114"/>
      <c r="BD38" s="114"/>
      <c r="BE38" s="24"/>
      <c r="BF38" s="24"/>
      <c r="BG38" s="24"/>
      <c r="BH38" s="24"/>
      <c r="BI38" s="24"/>
      <c r="BJ38" s="114"/>
      <c r="BK38" s="114"/>
      <c r="BL38" s="114"/>
    </row>
    <row r="39">
      <c r="B39" s="111"/>
      <c r="BC39" s="111"/>
      <c r="BD39" s="111"/>
      <c r="BJ39" s="111"/>
      <c r="BK39" s="111"/>
      <c r="BL39" s="111"/>
    </row>
  </sheetData>
  <mergeCells count="252">
    <mergeCell ref="AA23:AH23"/>
    <mergeCell ref="AJ23:AQ23"/>
    <mergeCell ref="C23:E23"/>
    <mergeCell ref="C24:E27"/>
    <mergeCell ref="I24:K27"/>
    <mergeCell ref="N24:S24"/>
    <mergeCell ref="N25:S25"/>
    <mergeCell ref="T24:U24"/>
    <mergeCell ref="V24:W24"/>
    <mergeCell ref="X24:Y24"/>
    <mergeCell ref="AA24:AH24"/>
    <mergeCell ref="AS23:AZ23"/>
    <mergeCell ref="AS24:AZ24"/>
    <mergeCell ref="AJ24:AQ24"/>
    <mergeCell ref="T25:U25"/>
    <mergeCell ref="T27:U27"/>
    <mergeCell ref="V27:W27"/>
    <mergeCell ref="N23:S23"/>
    <mergeCell ref="T23:U23"/>
    <mergeCell ref="N26:S26"/>
    <mergeCell ref="T26:U26"/>
    <mergeCell ref="V26:W26"/>
    <mergeCell ref="X26:Y26"/>
    <mergeCell ref="N27:S27"/>
    <mergeCell ref="X27:Y27"/>
    <mergeCell ref="AA27:AH27"/>
    <mergeCell ref="AJ27:AQ27"/>
    <mergeCell ref="AS27:AZ27"/>
    <mergeCell ref="C28:D28"/>
    <mergeCell ref="I28:J28"/>
    <mergeCell ref="N28:S28"/>
    <mergeCell ref="T28:U28"/>
    <mergeCell ref="V28:W28"/>
    <mergeCell ref="X28:Y28"/>
    <mergeCell ref="AA28:AH28"/>
    <mergeCell ref="AJ28:AQ28"/>
    <mergeCell ref="AS28:AZ28"/>
    <mergeCell ref="C29:D29"/>
    <mergeCell ref="N29:S29"/>
    <mergeCell ref="N30:S30"/>
    <mergeCell ref="I23:K23"/>
    <mergeCell ref="L23:L31"/>
    <mergeCell ref="I29:J29"/>
    <mergeCell ref="T29:U29"/>
    <mergeCell ref="V29:W29"/>
    <mergeCell ref="X29:Y29"/>
    <mergeCell ref="I30:J30"/>
    <mergeCell ref="V21:W21"/>
    <mergeCell ref="X21:Y21"/>
    <mergeCell ref="BB21:BL21"/>
    <mergeCell ref="B22:F22"/>
    <mergeCell ref="H22:L22"/>
    <mergeCell ref="N22:S22"/>
    <mergeCell ref="T22:U22"/>
    <mergeCell ref="V22:W22"/>
    <mergeCell ref="X22:Y22"/>
    <mergeCell ref="BB19:BL20"/>
    <mergeCell ref="BB22:BL23"/>
    <mergeCell ref="BB25:BL29"/>
    <mergeCell ref="G22:G25"/>
    <mergeCell ref="H23:H26"/>
    <mergeCell ref="G26:G29"/>
    <mergeCell ref="H27:H30"/>
    <mergeCell ref="C30:D30"/>
    <mergeCell ref="AJ25:AQ25"/>
    <mergeCell ref="AJ26:AQ26"/>
    <mergeCell ref="AS26:AZ26"/>
    <mergeCell ref="AA29:AZ29"/>
    <mergeCell ref="V23:W23"/>
    <mergeCell ref="X23:Y23"/>
    <mergeCell ref="V25:W25"/>
    <mergeCell ref="X25:Y25"/>
    <mergeCell ref="AA25:AH25"/>
    <mergeCell ref="AS25:AZ25"/>
    <mergeCell ref="AA26:AH26"/>
    <mergeCell ref="T30:U30"/>
    <mergeCell ref="V30:W30"/>
    <mergeCell ref="X30:Y30"/>
    <mergeCell ref="AA30:AZ31"/>
    <mergeCell ref="X31:Y31"/>
    <mergeCell ref="C31:E31"/>
    <mergeCell ref="H31:K31"/>
    <mergeCell ref="N31:S31"/>
    <mergeCell ref="T31:U31"/>
    <mergeCell ref="V31:W31"/>
    <mergeCell ref="N32:S32"/>
    <mergeCell ref="T32:U32"/>
    <mergeCell ref="V32:W32"/>
    <mergeCell ref="X32:Y32"/>
    <mergeCell ref="AA32:AA36"/>
    <mergeCell ref="V34:W34"/>
    <mergeCell ref="X34:Y34"/>
    <mergeCell ref="AB32:AE34"/>
    <mergeCell ref="AF32:AF36"/>
    <mergeCell ref="AB35:AE36"/>
    <mergeCell ref="AG35:AJ36"/>
    <mergeCell ref="AL35:AO36"/>
    <mergeCell ref="AQ35:AT36"/>
    <mergeCell ref="AV35:AY36"/>
    <mergeCell ref="AS17:AZ17"/>
    <mergeCell ref="B18:F19"/>
    <mergeCell ref="G18:K19"/>
    <mergeCell ref="N18:S18"/>
    <mergeCell ref="T18:U18"/>
    <mergeCell ref="V18:W18"/>
    <mergeCell ref="X18:Y18"/>
    <mergeCell ref="N35:Y38"/>
    <mergeCell ref="AA37:AZ38"/>
    <mergeCell ref="B2:BL3"/>
    <mergeCell ref="A4:BB4"/>
    <mergeCell ref="A5:A39"/>
    <mergeCell ref="M5:M38"/>
    <mergeCell ref="Z5:Z38"/>
    <mergeCell ref="BB5:BL6"/>
    <mergeCell ref="BB24:BL24"/>
    <mergeCell ref="B39:BB39"/>
    <mergeCell ref="AG32:AJ34"/>
    <mergeCell ref="AK32:AK36"/>
    <mergeCell ref="AL32:AO34"/>
    <mergeCell ref="AP32:AP36"/>
    <mergeCell ref="AQ32:AT34"/>
    <mergeCell ref="AU32:AU36"/>
    <mergeCell ref="AV32:AY34"/>
    <mergeCell ref="AZ32:AZ36"/>
    <mergeCell ref="N33:S33"/>
    <mergeCell ref="T33:U33"/>
    <mergeCell ref="V33:W33"/>
    <mergeCell ref="X33:Y33"/>
    <mergeCell ref="N34:S34"/>
    <mergeCell ref="T34:U34"/>
    <mergeCell ref="N5:Y6"/>
    <mergeCell ref="B8:L9"/>
    <mergeCell ref="N8:S8"/>
    <mergeCell ref="T8:U8"/>
    <mergeCell ref="V8:W8"/>
    <mergeCell ref="X8:Y8"/>
    <mergeCell ref="N9:S9"/>
    <mergeCell ref="X9:Y9"/>
    <mergeCell ref="AA9:AH9"/>
    <mergeCell ref="AS8:AZ8"/>
    <mergeCell ref="AS9:AZ9"/>
    <mergeCell ref="B10:L10"/>
    <mergeCell ref="N10:S10"/>
    <mergeCell ref="T10:U10"/>
    <mergeCell ref="V10:W10"/>
    <mergeCell ref="X10:Y10"/>
    <mergeCell ref="AA10:AH10"/>
    <mergeCell ref="AJ10:AQ10"/>
    <mergeCell ref="AS10:AZ10"/>
    <mergeCell ref="T12:U12"/>
    <mergeCell ref="V12:W12"/>
    <mergeCell ref="T9:U9"/>
    <mergeCell ref="V9:W9"/>
    <mergeCell ref="N11:S11"/>
    <mergeCell ref="T11:U11"/>
    <mergeCell ref="V11:W11"/>
    <mergeCell ref="X11:Y11"/>
    <mergeCell ref="N12:S12"/>
    <mergeCell ref="AS12:AZ12"/>
    <mergeCell ref="BB12:BL12"/>
    <mergeCell ref="V13:W13"/>
    <mergeCell ref="X13:Y13"/>
    <mergeCell ref="AA13:AH13"/>
    <mergeCell ref="AJ13:AQ13"/>
    <mergeCell ref="BB10:BL10"/>
    <mergeCell ref="BB13:BL17"/>
    <mergeCell ref="N14:S14"/>
    <mergeCell ref="T14:U14"/>
    <mergeCell ref="V14:W14"/>
    <mergeCell ref="X14:Y14"/>
    <mergeCell ref="AA14:AH14"/>
    <mergeCell ref="AJ14:AQ14"/>
    <mergeCell ref="AS11:AZ11"/>
    <mergeCell ref="AS14:AZ14"/>
    <mergeCell ref="AS18:AZ18"/>
    <mergeCell ref="AA19:AH19"/>
    <mergeCell ref="AJ19:AQ19"/>
    <mergeCell ref="AS19:AZ19"/>
    <mergeCell ref="AA20:AH20"/>
    <mergeCell ref="AJ20:AQ20"/>
    <mergeCell ref="AS20:AZ20"/>
    <mergeCell ref="AA21:AH21"/>
    <mergeCell ref="AJ21:AQ21"/>
    <mergeCell ref="AS21:AZ21"/>
    <mergeCell ref="AA22:AH22"/>
    <mergeCell ref="AJ22:AQ22"/>
    <mergeCell ref="AA5:AZ6"/>
    <mergeCell ref="BA5:BA38"/>
    <mergeCell ref="AA7:AH7"/>
    <mergeCell ref="AI7:AI28"/>
    <mergeCell ref="AR7:AR28"/>
    <mergeCell ref="AS7:AZ7"/>
    <mergeCell ref="AA8:AH8"/>
    <mergeCell ref="AS22:AZ22"/>
    <mergeCell ref="B5:L6"/>
    <mergeCell ref="B7:L7"/>
    <mergeCell ref="N7:S7"/>
    <mergeCell ref="T7:U7"/>
    <mergeCell ref="N15:S15"/>
    <mergeCell ref="T15:U15"/>
    <mergeCell ref="V15:W15"/>
    <mergeCell ref="X15:Y15"/>
    <mergeCell ref="V7:W7"/>
    <mergeCell ref="X7:Y7"/>
    <mergeCell ref="AJ7:AQ7"/>
    <mergeCell ref="AJ8:AQ8"/>
    <mergeCell ref="BB7:BL7"/>
    <mergeCell ref="BB8:BL9"/>
    <mergeCell ref="AA11:AH11"/>
    <mergeCell ref="AJ11:AQ11"/>
    <mergeCell ref="BB11:BL11"/>
    <mergeCell ref="AA15:AH15"/>
    <mergeCell ref="AJ15:AQ15"/>
    <mergeCell ref="AJ9:AQ9"/>
    <mergeCell ref="B11:L15"/>
    <mergeCell ref="X12:Y12"/>
    <mergeCell ref="AA12:AH12"/>
    <mergeCell ref="AJ12:AQ12"/>
    <mergeCell ref="N13:S13"/>
    <mergeCell ref="T13:U13"/>
    <mergeCell ref="AS15:AZ15"/>
    <mergeCell ref="AS16:AZ16"/>
    <mergeCell ref="N17:S17"/>
    <mergeCell ref="T17:U17"/>
    <mergeCell ref="V17:W17"/>
    <mergeCell ref="X17:Y17"/>
    <mergeCell ref="B16:L17"/>
    <mergeCell ref="N16:S16"/>
    <mergeCell ref="T16:U16"/>
    <mergeCell ref="V16:W16"/>
    <mergeCell ref="X16:Y16"/>
    <mergeCell ref="AA16:AH16"/>
    <mergeCell ref="AJ16:AQ16"/>
    <mergeCell ref="AA17:AH17"/>
    <mergeCell ref="AJ17:AQ17"/>
    <mergeCell ref="AA18:AH18"/>
    <mergeCell ref="AJ18:AQ18"/>
    <mergeCell ref="AS13:AZ13"/>
    <mergeCell ref="BB18:BL18"/>
    <mergeCell ref="N19:S19"/>
    <mergeCell ref="T19:U19"/>
    <mergeCell ref="V19:W19"/>
    <mergeCell ref="X19:Y19"/>
    <mergeCell ref="L18:L21"/>
    <mergeCell ref="B20:F21"/>
    <mergeCell ref="G20:K21"/>
    <mergeCell ref="N20:S20"/>
    <mergeCell ref="T20:U20"/>
    <mergeCell ref="V20:W20"/>
    <mergeCell ref="X20:Y20"/>
    <mergeCell ref="N21:S21"/>
    <mergeCell ref="T21:U21"/>
  </mergeCells>
  <conditionalFormatting sqref="A1:A39 B1:BL1 B4:BL4 B39:BD39 BJ39:BL39">
    <cfRule type="containsBlanks" dxfId="1" priority="1">
      <formula>LEN(TRIM(A1))=0</formula>
    </cfRule>
  </conditionalFormatting>
  <conditionalFormatting sqref="M5:M38 Z5:Z38 BA5:BA38 BB18:BL18 B22 C22:C30 D22:D38 E22:E30 F22 H22 I22:K30 L22 AA29:AZ29 BB30:BL38 B32:C38 E32:L38 N35:Y38 AA37:AZ38">
    <cfRule type="containsBlanks" dxfId="2" priority="2">
      <formula>LEN(TRIM(M5))=0</formula>
    </cfRule>
  </conditionalFormatting>
  <dataValidations>
    <dataValidation type="list" allowBlank="1" showDropDown="1" showErrorMessage="1" sqref="E28 K28">
      <formula1>"F,D,C,I,S,P"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1" width="3.25"/>
  </cols>
  <sheetData>
    <row r="1">
      <c r="A1" s="24"/>
    </row>
    <row r="2">
      <c r="A2" s="24"/>
      <c r="B2" s="99" t="s">
        <v>189</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138"/>
    </row>
    <row r="3">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row>
    <row r="4">
      <c r="B4" s="24"/>
    </row>
    <row r="5">
      <c r="B5" s="139" t="s">
        <v>190</v>
      </c>
      <c r="C5" s="4"/>
      <c r="D5" s="4"/>
      <c r="E5" s="4"/>
      <c r="F5" s="4"/>
      <c r="G5" s="4"/>
      <c r="H5" s="4"/>
      <c r="I5" s="4"/>
      <c r="J5" s="4"/>
      <c r="K5" s="4"/>
      <c r="L5" s="4"/>
      <c r="M5" s="4"/>
      <c r="N5" s="4"/>
      <c r="O5" s="5"/>
      <c r="P5" s="140"/>
      <c r="Q5" s="141" t="s">
        <v>191</v>
      </c>
      <c r="R5" s="4"/>
      <c r="S5" s="4"/>
      <c r="T5" s="4"/>
      <c r="U5" s="4"/>
      <c r="V5" s="4"/>
      <c r="W5" s="4"/>
      <c r="X5" s="4"/>
      <c r="Y5" s="4"/>
      <c r="Z5" s="4"/>
      <c r="AA5" s="4"/>
      <c r="AB5" s="4"/>
      <c r="AC5" s="4"/>
      <c r="AD5" s="5"/>
      <c r="AE5" s="140"/>
      <c r="AF5" s="141" t="s">
        <v>192</v>
      </c>
      <c r="AG5" s="4"/>
      <c r="AH5" s="4"/>
      <c r="AI5" s="4"/>
      <c r="AJ5" s="4"/>
      <c r="AK5" s="4"/>
      <c r="AL5" s="4"/>
      <c r="AM5" s="4"/>
      <c r="AN5" s="4"/>
      <c r="AO5" s="4"/>
      <c r="AP5" s="4"/>
      <c r="AQ5" s="4"/>
      <c r="AR5" s="4"/>
      <c r="AS5" s="5"/>
      <c r="AT5" s="140"/>
      <c r="AU5" s="141" t="s">
        <v>193</v>
      </c>
      <c r="AV5" s="4"/>
      <c r="AW5" s="4"/>
      <c r="AX5" s="4"/>
      <c r="AY5" s="4"/>
      <c r="AZ5" s="4"/>
      <c r="BA5" s="4"/>
      <c r="BB5" s="4"/>
      <c r="BC5" s="4"/>
      <c r="BD5" s="4"/>
      <c r="BE5" s="4"/>
      <c r="BF5" s="4"/>
      <c r="BG5" s="4"/>
      <c r="BH5" s="5"/>
    </row>
    <row r="6">
      <c r="B6" s="16"/>
      <c r="C6" s="17"/>
      <c r="D6" s="17"/>
      <c r="E6" s="17"/>
      <c r="F6" s="17"/>
      <c r="G6" s="17"/>
      <c r="H6" s="17"/>
      <c r="I6" s="17"/>
      <c r="J6" s="17"/>
      <c r="K6" s="17"/>
      <c r="L6" s="17"/>
      <c r="M6" s="17"/>
      <c r="N6" s="17"/>
      <c r="O6" s="18"/>
      <c r="Q6" s="16"/>
      <c r="R6" s="17"/>
      <c r="S6" s="17"/>
      <c r="T6" s="17"/>
      <c r="U6" s="17"/>
      <c r="V6" s="17"/>
      <c r="W6" s="17"/>
      <c r="X6" s="17"/>
      <c r="Y6" s="17"/>
      <c r="Z6" s="17"/>
      <c r="AA6" s="17"/>
      <c r="AB6" s="17"/>
      <c r="AC6" s="17"/>
      <c r="AD6" s="18"/>
      <c r="AF6" s="16"/>
      <c r="AG6" s="17"/>
      <c r="AH6" s="17"/>
      <c r="AI6" s="17"/>
      <c r="AJ6" s="17"/>
      <c r="AK6" s="17"/>
      <c r="AL6" s="17"/>
      <c r="AM6" s="17"/>
      <c r="AN6" s="17"/>
      <c r="AO6" s="17"/>
      <c r="AP6" s="17"/>
      <c r="AQ6" s="17"/>
      <c r="AR6" s="17"/>
      <c r="AS6" s="18"/>
      <c r="AU6" s="16"/>
      <c r="AV6" s="17"/>
      <c r="AW6" s="17"/>
      <c r="AX6" s="17"/>
      <c r="AY6" s="17"/>
      <c r="AZ6" s="17"/>
      <c r="BA6" s="17"/>
      <c r="BB6" s="17"/>
      <c r="BC6" s="17"/>
      <c r="BD6" s="17"/>
      <c r="BE6" s="17"/>
      <c r="BF6" s="17"/>
      <c r="BG6" s="17"/>
      <c r="BH6" s="18"/>
    </row>
    <row r="7">
      <c r="B7" s="115"/>
      <c r="C7" s="48" t="s">
        <v>194</v>
      </c>
      <c r="D7" s="10"/>
      <c r="E7" s="10"/>
      <c r="F7" s="10"/>
      <c r="G7" s="10"/>
      <c r="H7" s="10"/>
      <c r="I7" s="10"/>
      <c r="J7" s="10"/>
      <c r="K7" s="10"/>
      <c r="L7" s="10"/>
      <c r="M7" s="10"/>
      <c r="N7" s="11"/>
      <c r="O7" s="115"/>
      <c r="Q7" s="115"/>
      <c r="R7" s="48" t="s">
        <v>194</v>
      </c>
      <c r="S7" s="10"/>
      <c r="T7" s="10"/>
      <c r="U7" s="10"/>
      <c r="V7" s="10"/>
      <c r="W7" s="10"/>
      <c r="X7" s="10"/>
      <c r="Y7" s="10"/>
      <c r="Z7" s="10"/>
      <c r="AA7" s="10"/>
      <c r="AB7" s="10"/>
      <c r="AC7" s="11"/>
      <c r="AD7" s="115"/>
      <c r="AF7" s="115"/>
      <c r="AG7" s="48" t="s">
        <v>194</v>
      </c>
      <c r="AH7" s="10"/>
      <c r="AI7" s="10"/>
      <c r="AJ7" s="10"/>
      <c r="AK7" s="10"/>
      <c r="AL7" s="10"/>
      <c r="AM7" s="10"/>
      <c r="AN7" s="10"/>
      <c r="AO7" s="10"/>
      <c r="AP7" s="10"/>
      <c r="AQ7" s="10"/>
      <c r="AR7" s="11"/>
      <c r="AS7" s="115"/>
      <c r="AU7" s="115"/>
      <c r="AV7" s="48" t="s">
        <v>194</v>
      </c>
      <c r="AW7" s="10"/>
      <c r="AX7" s="10"/>
      <c r="AY7" s="10"/>
      <c r="AZ7" s="10"/>
      <c r="BA7" s="10"/>
      <c r="BB7" s="10"/>
      <c r="BC7" s="10"/>
      <c r="BD7" s="10"/>
      <c r="BE7" s="10"/>
      <c r="BF7" s="10"/>
      <c r="BG7" s="11"/>
      <c r="BH7" s="115"/>
    </row>
    <row r="8">
      <c r="B8" s="116"/>
      <c r="C8" s="126"/>
      <c r="D8" s="10"/>
      <c r="E8" s="10"/>
      <c r="F8" s="10"/>
      <c r="G8" s="10"/>
      <c r="H8" s="10"/>
      <c r="I8" s="10"/>
      <c r="J8" s="10"/>
      <c r="K8" s="10"/>
      <c r="L8" s="10"/>
      <c r="M8" s="10"/>
      <c r="N8" s="11"/>
      <c r="O8" s="116"/>
      <c r="Q8" s="116"/>
      <c r="R8" s="126"/>
      <c r="S8" s="10"/>
      <c r="T8" s="10"/>
      <c r="U8" s="10"/>
      <c r="V8" s="10"/>
      <c r="W8" s="10"/>
      <c r="X8" s="10"/>
      <c r="Y8" s="10"/>
      <c r="Z8" s="10"/>
      <c r="AA8" s="10"/>
      <c r="AB8" s="10"/>
      <c r="AC8" s="11"/>
      <c r="AD8" s="116"/>
      <c r="AF8" s="116"/>
      <c r="AG8" s="126"/>
      <c r="AH8" s="10"/>
      <c r="AI8" s="10"/>
      <c r="AJ8" s="10"/>
      <c r="AK8" s="10"/>
      <c r="AL8" s="10"/>
      <c r="AM8" s="10"/>
      <c r="AN8" s="10"/>
      <c r="AO8" s="10"/>
      <c r="AP8" s="10"/>
      <c r="AQ8" s="10"/>
      <c r="AR8" s="11"/>
      <c r="AS8" s="116"/>
      <c r="AU8" s="116"/>
      <c r="AV8" s="126"/>
      <c r="AW8" s="10"/>
      <c r="AX8" s="10"/>
      <c r="AY8" s="10"/>
      <c r="AZ8" s="10"/>
      <c r="BA8" s="10"/>
      <c r="BB8" s="10"/>
      <c r="BC8" s="10"/>
      <c r="BD8" s="10"/>
      <c r="BE8" s="10"/>
      <c r="BF8" s="10"/>
      <c r="BG8" s="11"/>
      <c r="BH8" s="116"/>
    </row>
    <row r="9">
      <c r="B9" s="116"/>
      <c r="C9" s="142"/>
      <c r="D9" s="10"/>
      <c r="E9" s="10"/>
      <c r="F9" s="10"/>
      <c r="G9" s="10"/>
      <c r="H9" s="10"/>
      <c r="I9" s="10"/>
      <c r="J9" s="10"/>
      <c r="K9" s="10"/>
      <c r="L9" s="10"/>
      <c r="M9" s="10"/>
      <c r="N9" s="11"/>
      <c r="O9" s="116"/>
      <c r="Q9" s="116"/>
      <c r="R9" s="142"/>
      <c r="S9" s="10"/>
      <c r="T9" s="10"/>
      <c r="U9" s="10"/>
      <c r="V9" s="10"/>
      <c r="W9" s="10"/>
      <c r="X9" s="10"/>
      <c r="Y9" s="10"/>
      <c r="Z9" s="10"/>
      <c r="AA9" s="10"/>
      <c r="AB9" s="10"/>
      <c r="AC9" s="11"/>
      <c r="AD9" s="116"/>
      <c r="AF9" s="116"/>
      <c r="AG9" s="142"/>
      <c r="AH9" s="10"/>
      <c r="AI9" s="10"/>
      <c r="AJ9" s="10"/>
      <c r="AK9" s="10"/>
      <c r="AL9" s="10"/>
      <c r="AM9" s="10"/>
      <c r="AN9" s="10"/>
      <c r="AO9" s="10"/>
      <c r="AP9" s="10"/>
      <c r="AQ9" s="10"/>
      <c r="AR9" s="11"/>
      <c r="AS9" s="116"/>
      <c r="AU9" s="116"/>
      <c r="AV9" s="142"/>
      <c r="AW9" s="10"/>
      <c r="AX9" s="10"/>
      <c r="AY9" s="10"/>
      <c r="AZ9" s="10"/>
      <c r="BA9" s="10"/>
      <c r="BB9" s="10"/>
      <c r="BC9" s="10"/>
      <c r="BD9" s="10"/>
      <c r="BE9" s="10"/>
      <c r="BF9" s="10"/>
      <c r="BG9" s="11"/>
      <c r="BH9" s="116"/>
    </row>
    <row r="10">
      <c r="B10" s="116"/>
      <c r="C10" s="143"/>
      <c r="D10" s="4"/>
      <c r="E10" s="5"/>
      <c r="F10" s="144"/>
      <c r="G10" s="4"/>
      <c r="H10" s="5"/>
      <c r="I10" s="145"/>
      <c r="J10" s="4"/>
      <c r="K10" s="5"/>
      <c r="L10" s="146"/>
      <c r="M10" s="4"/>
      <c r="N10" s="5"/>
      <c r="O10" s="116"/>
      <c r="Q10" s="116"/>
      <c r="R10" s="143"/>
      <c r="S10" s="4"/>
      <c r="T10" s="5"/>
      <c r="U10" s="144"/>
      <c r="V10" s="4"/>
      <c r="W10" s="5"/>
      <c r="X10" s="145"/>
      <c r="Y10" s="4"/>
      <c r="Z10" s="5"/>
      <c r="AA10" s="146"/>
      <c r="AB10" s="4"/>
      <c r="AC10" s="5"/>
      <c r="AD10" s="116"/>
      <c r="AF10" s="116"/>
      <c r="AG10" s="143"/>
      <c r="AH10" s="4"/>
      <c r="AI10" s="5"/>
      <c r="AJ10" s="144"/>
      <c r="AK10" s="4"/>
      <c r="AL10" s="5"/>
      <c r="AM10" s="145"/>
      <c r="AN10" s="4"/>
      <c r="AO10" s="5"/>
      <c r="AP10" s="146"/>
      <c r="AQ10" s="4"/>
      <c r="AR10" s="5"/>
      <c r="AS10" s="116"/>
      <c r="AU10" s="116"/>
      <c r="AV10" s="143"/>
      <c r="AW10" s="4"/>
      <c r="AX10" s="5"/>
      <c r="AY10" s="144"/>
      <c r="AZ10" s="4"/>
      <c r="BA10" s="5"/>
      <c r="BB10" s="145"/>
      <c r="BC10" s="4"/>
      <c r="BD10" s="5"/>
      <c r="BE10" s="146"/>
      <c r="BF10" s="4"/>
      <c r="BG10" s="5"/>
      <c r="BH10" s="116"/>
    </row>
    <row r="11">
      <c r="B11" s="116"/>
      <c r="E11" s="37"/>
      <c r="F11" s="36"/>
      <c r="H11" s="37"/>
      <c r="I11" s="36"/>
      <c r="K11" s="37"/>
      <c r="L11" s="36"/>
      <c r="N11" s="37"/>
      <c r="O11" s="116"/>
      <c r="Q11" s="116"/>
      <c r="T11" s="37"/>
      <c r="U11" s="36"/>
      <c r="W11" s="37"/>
      <c r="X11" s="36"/>
      <c r="Z11" s="37"/>
      <c r="AA11" s="36"/>
      <c r="AC11" s="37"/>
      <c r="AD11" s="116"/>
      <c r="AF11" s="116"/>
      <c r="AI11" s="37"/>
      <c r="AJ11" s="36"/>
      <c r="AL11" s="37"/>
      <c r="AM11" s="36"/>
      <c r="AO11" s="37"/>
      <c r="AP11" s="36"/>
      <c r="AR11" s="37"/>
      <c r="AS11" s="116"/>
      <c r="AU11" s="116"/>
      <c r="AX11" s="37"/>
      <c r="AY11" s="36"/>
      <c r="BA11" s="37"/>
      <c r="BB11" s="36"/>
      <c r="BD11" s="37"/>
      <c r="BE11" s="36"/>
      <c r="BG11" s="37"/>
      <c r="BH11" s="116"/>
    </row>
    <row r="12">
      <c r="B12" s="116"/>
      <c r="E12" s="37"/>
      <c r="F12" s="36"/>
      <c r="H12" s="37"/>
      <c r="I12" s="36"/>
      <c r="K12" s="37"/>
      <c r="L12" s="36"/>
      <c r="N12" s="37"/>
      <c r="O12" s="116"/>
      <c r="Q12" s="116"/>
      <c r="T12" s="37"/>
      <c r="U12" s="36"/>
      <c r="W12" s="37"/>
      <c r="X12" s="36"/>
      <c r="Z12" s="37"/>
      <c r="AA12" s="36"/>
      <c r="AC12" s="37"/>
      <c r="AD12" s="116"/>
      <c r="AF12" s="116"/>
      <c r="AI12" s="37"/>
      <c r="AJ12" s="36"/>
      <c r="AL12" s="37"/>
      <c r="AM12" s="36"/>
      <c r="AO12" s="37"/>
      <c r="AP12" s="36"/>
      <c r="AR12" s="37"/>
      <c r="AS12" s="116"/>
      <c r="AU12" s="116"/>
      <c r="AX12" s="37"/>
      <c r="AY12" s="36"/>
      <c r="BA12" s="37"/>
      <c r="BB12" s="36"/>
      <c r="BD12" s="37"/>
      <c r="BE12" s="36"/>
      <c r="BG12" s="37"/>
      <c r="BH12" s="116"/>
    </row>
    <row r="13">
      <c r="B13" s="116"/>
      <c r="C13" s="17"/>
      <c r="D13" s="17"/>
      <c r="E13" s="18"/>
      <c r="F13" s="16"/>
      <c r="G13" s="17"/>
      <c r="H13" s="18"/>
      <c r="I13" s="16"/>
      <c r="J13" s="17"/>
      <c r="K13" s="18"/>
      <c r="L13" s="16"/>
      <c r="M13" s="17"/>
      <c r="N13" s="18"/>
      <c r="O13" s="116"/>
      <c r="Q13" s="116"/>
      <c r="R13" s="17"/>
      <c r="S13" s="17"/>
      <c r="T13" s="18"/>
      <c r="U13" s="16"/>
      <c r="V13" s="17"/>
      <c r="W13" s="18"/>
      <c r="X13" s="16"/>
      <c r="Y13" s="17"/>
      <c r="Z13" s="18"/>
      <c r="AA13" s="16"/>
      <c r="AB13" s="17"/>
      <c r="AC13" s="18"/>
      <c r="AD13" s="116"/>
      <c r="AF13" s="116"/>
      <c r="AG13" s="17"/>
      <c r="AH13" s="17"/>
      <c r="AI13" s="18"/>
      <c r="AJ13" s="16"/>
      <c r="AK13" s="17"/>
      <c r="AL13" s="18"/>
      <c r="AM13" s="16"/>
      <c r="AN13" s="17"/>
      <c r="AO13" s="18"/>
      <c r="AP13" s="16"/>
      <c r="AQ13" s="17"/>
      <c r="AR13" s="18"/>
      <c r="AS13" s="116"/>
      <c r="AU13" s="116"/>
      <c r="AV13" s="17"/>
      <c r="AW13" s="17"/>
      <c r="AX13" s="18"/>
      <c r="AY13" s="16"/>
      <c r="AZ13" s="17"/>
      <c r="BA13" s="18"/>
      <c r="BB13" s="16"/>
      <c r="BC13" s="17"/>
      <c r="BD13" s="18"/>
      <c r="BE13" s="16"/>
      <c r="BF13" s="17"/>
      <c r="BG13" s="18"/>
      <c r="BH13" s="116"/>
    </row>
    <row r="14">
      <c r="B14" s="116"/>
      <c r="C14" s="147" t="s">
        <v>20</v>
      </c>
      <c r="D14" s="10"/>
      <c r="E14" s="11"/>
      <c r="F14" s="21" t="s">
        <v>22</v>
      </c>
      <c r="G14" s="10"/>
      <c r="H14" s="11"/>
      <c r="I14" s="148" t="s">
        <v>18</v>
      </c>
      <c r="J14" s="4"/>
      <c r="K14" s="5"/>
      <c r="L14" s="149" t="s">
        <v>195</v>
      </c>
      <c r="M14" s="4"/>
      <c r="N14" s="5"/>
      <c r="O14" s="116"/>
      <c r="Q14" s="116"/>
      <c r="R14" s="147" t="s">
        <v>20</v>
      </c>
      <c r="S14" s="10"/>
      <c r="T14" s="11"/>
      <c r="U14" s="21" t="s">
        <v>22</v>
      </c>
      <c r="V14" s="10"/>
      <c r="W14" s="11"/>
      <c r="X14" s="148" t="s">
        <v>18</v>
      </c>
      <c r="Y14" s="4"/>
      <c r="Z14" s="5"/>
      <c r="AA14" s="149" t="s">
        <v>195</v>
      </c>
      <c r="AB14" s="4"/>
      <c r="AC14" s="5"/>
      <c r="AD14" s="116"/>
      <c r="AF14" s="116"/>
      <c r="AG14" s="147" t="s">
        <v>20</v>
      </c>
      <c r="AH14" s="10"/>
      <c r="AI14" s="11"/>
      <c r="AJ14" s="21" t="s">
        <v>22</v>
      </c>
      <c r="AK14" s="10"/>
      <c r="AL14" s="11"/>
      <c r="AM14" s="148" t="s">
        <v>18</v>
      </c>
      <c r="AN14" s="4"/>
      <c r="AO14" s="5"/>
      <c r="AP14" s="149" t="s">
        <v>195</v>
      </c>
      <c r="AQ14" s="4"/>
      <c r="AR14" s="5"/>
      <c r="AS14" s="116"/>
      <c r="AU14" s="116"/>
      <c r="AV14" s="147" t="s">
        <v>20</v>
      </c>
      <c r="AW14" s="10"/>
      <c r="AX14" s="11"/>
      <c r="AY14" s="21" t="s">
        <v>22</v>
      </c>
      <c r="AZ14" s="10"/>
      <c r="BA14" s="11"/>
      <c r="BB14" s="148" t="s">
        <v>18</v>
      </c>
      <c r="BC14" s="4"/>
      <c r="BD14" s="5"/>
      <c r="BE14" s="149" t="s">
        <v>195</v>
      </c>
      <c r="BF14" s="4"/>
      <c r="BG14" s="5"/>
      <c r="BH14" s="116"/>
    </row>
    <row r="15">
      <c r="B15" s="81"/>
      <c r="C15" s="150" t="s">
        <v>14</v>
      </c>
      <c r="I15" s="16"/>
      <c r="J15" s="17"/>
      <c r="K15" s="18"/>
      <c r="L15" s="16"/>
      <c r="M15" s="17"/>
      <c r="N15" s="18"/>
      <c r="O15" s="81"/>
      <c r="Q15" s="81"/>
      <c r="R15" s="150" t="s">
        <v>14</v>
      </c>
      <c r="X15" s="16"/>
      <c r="Y15" s="17"/>
      <c r="Z15" s="18"/>
      <c r="AA15" s="16"/>
      <c r="AB15" s="17"/>
      <c r="AC15" s="18"/>
      <c r="AD15" s="81"/>
      <c r="AF15" s="81"/>
      <c r="AG15" s="150" t="s">
        <v>14</v>
      </c>
      <c r="AM15" s="16"/>
      <c r="AN15" s="17"/>
      <c r="AO15" s="18"/>
      <c r="AP15" s="16"/>
      <c r="AQ15" s="17"/>
      <c r="AR15" s="18"/>
      <c r="AS15" s="81"/>
      <c r="AU15" s="81"/>
      <c r="AV15" s="150" t="s">
        <v>14</v>
      </c>
      <c r="BB15" s="16"/>
      <c r="BC15" s="17"/>
      <c r="BD15" s="18"/>
      <c r="BE15" s="16"/>
      <c r="BF15" s="17"/>
      <c r="BG15" s="18"/>
      <c r="BH15" s="81"/>
    </row>
    <row r="16">
      <c r="B16" s="115"/>
      <c r="C16" s="151" t="s">
        <v>13</v>
      </c>
      <c r="D16" s="10"/>
      <c r="E16" s="10"/>
      <c r="F16" s="10"/>
      <c r="G16" s="10"/>
      <c r="H16" s="10"/>
      <c r="I16" s="10"/>
      <c r="J16" s="10"/>
      <c r="K16" s="10"/>
      <c r="L16" s="10"/>
      <c r="M16" s="10"/>
      <c r="N16" s="11"/>
      <c r="O16" s="115"/>
      <c r="Q16" s="115"/>
      <c r="R16" s="151" t="s">
        <v>13</v>
      </c>
      <c r="S16" s="10"/>
      <c r="T16" s="10"/>
      <c r="U16" s="10"/>
      <c r="V16" s="10"/>
      <c r="W16" s="10"/>
      <c r="X16" s="10"/>
      <c r="Y16" s="10"/>
      <c r="Z16" s="10"/>
      <c r="AA16" s="10"/>
      <c r="AB16" s="10"/>
      <c r="AC16" s="11"/>
      <c r="AD16" s="115"/>
      <c r="AF16" s="115"/>
      <c r="AG16" s="151" t="s">
        <v>13</v>
      </c>
      <c r="AH16" s="10"/>
      <c r="AI16" s="10"/>
      <c r="AJ16" s="10"/>
      <c r="AK16" s="10"/>
      <c r="AL16" s="10"/>
      <c r="AM16" s="10"/>
      <c r="AN16" s="10"/>
      <c r="AO16" s="10"/>
      <c r="AP16" s="10"/>
      <c r="AQ16" s="10"/>
      <c r="AR16" s="11"/>
      <c r="AS16" s="115"/>
      <c r="AU16" s="115"/>
      <c r="AV16" s="151" t="s">
        <v>13</v>
      </c>
      <c r="AW16" s="10"/>
      <c r="AX16" s="10"/>
      <c r="AY16" s="10"/>
      <c r="AZ16" s="10"/>
      <c r="BA16" s="10"/>
      <c r="BB16" s="10"/>
      <c r="BC16" s="10"/>
      <c r="BD16" s="10"/>
      <c r="BE16" s="10"/>
      <c r="BF16" s="10"/>
      <c r="BG16" s="11"/>
      <c r="BH16" s="115"/>
    </row>
    <row r="17">
      <c r="B17" s="116"/>
      <c r="C17" s="48" t="s">
        <v>62</v>
      </c>
      <c r="D17" s="10"/>
      <c r="E17" s="10"/>
      <c r="F17" s="11"/>
      <c r="G17" s="48" t="s">
        <v>38</v>
      </c>
      <c r="H17" s="10"/>
      <c r="I17" s="10"/>
      <c r="J17" s="11"/>
      <c r="K17" s="152" t="s">
        <v>196</v>
      </c>
      <c r="L17" s="4"/>
      <c r="M17" s="4"/>
      <c r="N17" s="5"/>
      <c r="O17" s="116"/>
      <c r="Q17" s="116"/>
      <c r="R17" s="48" t="s">
        <v>62</v>
      </c>
      <c r="S17" s="10"/>
      <c r="T17" s="10"/>
      <c r="U17" s="11"/>
      <c r="V17" s="48" t="s">
        <v>38</v>
      </c>
      <c r="W17" s="10"/>
      <c r="X17" s="10"/>
      <c r="Y17" s="11"/>
      <c r="Z17" s="152" t="s">
        <v>196</v>
      </c>
      <c r="AA17" s="4"/>
      <c r="AB17" s="4"/>
      <c r="AC17" s="5"/>
      <c r="AD17" s="116"/>
      <c r="AF17" s="116"/>
      <c r="AG17" s="48" t="s">
        <v>62</v>
      </c>
      <c r="AH17" s="10"/>
      <c r="AI17" s="10"/>
      <c r="AJ17" s="11"/>
      <c r="AK17" s="48" t="s">
        <v>38</v>
      </c>
      <c r="AL17" s="10"/>
      <c r="AM17" s="10"/>
      <c r="AN17" s="11"/>
      <c r="AO17" s="152" t="s">
        <v>196</v>
      </c>
      <c r="AP17" s="4"/>
      <c r="AQ17" s="4"/>
      <c r="AR17" s="5"/>
      <c r="AS17" s="116"/>
      <c r="AU17" s="116"/>
      <c r="AV17" s="48" t="s">
        <v>62</v>
      </c>
      <c r="AW17" s="10"/>
      <c r="AX17" s="10"/>
      <c r="AY17" s="11"/>
      <c r="AZ17" s="48" t="s">
        <v>38</v>
      </c>
      <c r="BA17" s="10"/>
      <c r="BB17" s="10"/>
      <c r="BC17" s="11"/>
      <c r="BD17" s="152" t="s">
        <v>196</v>
      </c>
      <c r="BE17" s="4"/>
      <c r="BF17" s="4"/>
      <c r="BG17" s="5"/>
      <c r="BH17" s="116"/>
    </row>
    <row r="18">
      <c r="B18" s="116"/>
      <c r="C18" s="153" t="s">
        <v>197</v>
      </c>
      <c r="D18" s="10"/>
      <c r="E18" s="10"/>
      <c r="F18" s="11"/>
      <c r="G18" s="12"/>
      <c r="H18" s="10"/>
      <c r="I18" s="10"/>
      <c r="J18" s="11"/>
      <c r="K18" s="154">
        <f t="shared" ref="K18:K23" si="1">IF(G18&gt;=10,ROUNDDOWN((G18-10)/2,0),ROUNDUP((G18-10)/2,0))</f>
        <v>-5</v>
      </c>
      <c r="L18" s="10"/>
      <c r="M18" s="10"/>
      <c r="N18" s="11"/>
      <c r="O18" s="116"/>
      <c r="Q18" s="116"/>
      <c r="R18" s="153" t="s">
        <v>197</v>
      </c>
      <c r="S18" s="10"/>
      <c r="T18" s="10"/>
      <c r="U18" s="11"/>
      <c r="V18" s="12"/>
      <c r="W18" s="10"/>
      <c r="X18" s="10"/>
      <c r="Y18" s="11"/>
      <c r="Z18" s="154">
        <f t="shared" ref="Z18:Z23" si="2">IF(V18&gt;=10,ROUNDDOWN((V18-10)/2,0),ROUNDUP((V18-10)/2,0))</f>
        <v>-5</v>
      </c>
      <c r="AA18" s="10"/>
      <c r="AB18" s="10"/>
      <c r="AC18" s="11"/>
      <c r="AD18" s="116"/>
      <c r="AF18" s="116"/>
      <c r="AG18" s="153" t="s">
        <v>197</v>
      </c>
      <c r="AH18" s="10"/>
      <c r="AI18" s="10"/>
      <c r="AJ18" s="11"/>
      <c r="AK18" s="12"/>
      <c r="AL18" s="10"/>
      <c r="AM18" s="10"/>
      <c r="AN18" s="11"/>
      <c r="AO18" s="154">
        <f t="shared" ref="AO18:AO23" si="3">IF(AK18&gt;=10,ROUNDDOWN((AK18-10)/2,0),ROUNDUP((AK18-10)/2,0))</f>
        <v>-5</v>
      </c>
      <c r="AP18" s="10"/>
      <c r="AQ18" s="10"/>
      <c r="AR18" s="11"/>
      <c r="AS18" s="116"/>
      <c r="AU18" s="116"/>
      <c r="AV18" s="153" t="s">
        <v>197</v>
      </c>
      <c r="AW18" s="10"/>
      <c r="AX18" s="10"/>
      <c r="AY18" s="11"/>
      <c r="AZ18" s="12"/>
      <c r="BA18" s="10"/>
      <c r="BB18" s="10"/>
      <c r="BC18" s="11"/>
      <c r="BD18" s="154">
        <f t="shared" ref="BD18:BD23" si="4">IF(AZ18&gt;=10,ROUNDDOWN((AZ18-10)/2,0),ROUNDUP((AZ18-10)/2,0))</f>
        <v>-5</v>
      </c>
      <c r="BE18" s="10"/>
      <c r="BF18" s="10"/>
      <c r="BG18" s="11"/>
      <c r="BH18" s="116"/>
    </row>
    <row r="19">
      <c r="B19" s="116"/>
      <c r="C19" s="153" t="s">
        <v>41</v>
      </c>
      <c r="D19" s="10"/>
      <c r="E19" s="10"/>
      <c r="F19" s="11"/>
      <c r="G19" s="12"/>
      <c r="H19" s="10"/>
      <c r="I19" s="10"/>
      <c r="J19" s="11"/>
      <c r="K19" s="154">
        <f t="shared" si="1"/>
        <v>-5</v>
      </c>
      <c r="L19" s="10"/>
      <c r="M19" s="10"/>
      <c r="N19" s="11"/>
      <c r="O19" s="116"/>
      <c r="Q19" s="116"/>
      <c r="R19" s="153" t="s">
        <v>41</v>
      </c>
      <c r="S19" s="10"/>
      <c r="T19" s="10"/>
      <c r="U19" s="11"/>
      <c r="V19" s="12"/>
      <c r="W19" s="10"/>
      <c r="X19" s="10"/>
      <c r="Y19" s="11"/>
      <c r="Z19" s="154">
        <f t="shared" si="2"/>
        <v>-5</v>
      </c>
      <c r="AA19" s="10"/>
      <c r="AB19" s="10"/>
      <c r="AC19" s="11"/>
      <c r="AD19" s="116"/>
      <c r="AF19" s="116"/>
      <c r="AG19" s="153" t="s">
        <v>41</v>
      </c>
      <c r="AH19" s="10"/>
      <c r="AI19" s="10"/>
      <c r="AJ19" s="11"/>
      <c r="AK19" s="12"/>
      <c r="AL19" s="10"/>
      <c r="AM19" s="10"/>
      <c r="AN19" s="11"/>
      <c r="AO19" s="154">
        <f t="shared" si="3"/>
        <v>-5</v>
      </c>
      <c r="AP19" s="10"/>
      <c r="AQ19" s="10"/>
      <c r="AR19" s="11"/>
      <c r="AS19" s="116"/>
      <c r="AU19" s="116"/>
      <c r="AV19" s="153" t="s">
        <v>41</v>
      </c>
      <c r="AW19" s="10"/>
      <c r="AX19" s="10"/>
      <c r="AY19" s="11"/>
      <c r="AZ19" s="12"/>
      <c r="BA19" s="10"/>
      <c r="BB19" s="10"/>
      <c r="BC19" s="11"/>
      <c r="BD19" s="154">
        <f t="shared" si="4"/>
        <v>-5</v>
      </c>
      <c r="BE19" s="10"/>
      <c r="BF19" s="10"/>
      <c r="BG19" s="11"/>
      <c r="BH19" s="116"/>
    </row>
    <row r="20">
      <c r="B20" s="116"/>
      <c r="C20" s="153" t="s">
        <v>198</v>
      </c>
      <c r="D20" s="10"/>
      <c r="E20" s="10"/>
      <c r="F20" s="11"/>
      <c r="G20" s="108"/>
      <c r="H20" s="10"/>
      <c r="I20" s="10"/>
      <c r="J20" s="11"/>
      <c r="K20" s="154">
        <f t="shared" si="1"/>
        <v>-5</v>
      </c>
      <c r="L20" s="10"/>
      <c r="M20" s="10"/>
      <c r="N20" s="11"/>
      <c r="O20" s="116"/>
      <c r="Q20" s="116"/>
      <c r="R20" s="153" t="s">
        <v>198</v>
      </c>
      <c r="S20" s="10"/>
      <c r="T20" s="10"/>
      <c r="U20" s="11"/>
      <c r="V20" s="108"/>
      <c r="W20" s="10"/>
      <c r="X20" s="10"/>
      <c r="Y20" s="11"/>
      <c r="Z20" s="154">
        <f t="shared" si="2"/>
        <v>-5</v>
      </c>
      <c r="AA20" s="10"/>
      <c r="AB20" s="10"/>
      <c r="AC20" s="11"/>
      <c r="AD20" s="116"/>
      <c r="AF20" s="116"/>
      <c r="AG20" s="153" t="s">
        <v>198</v>
      </c>
      <c r="AH20" s="10"/>
      <c r="AI20" s="10"/>
      <c r="AJ20" s="11"/>
      <c r="AK20" s="108"/>
      <c r="AL20" s="10"/>
      <c r="AM20" s="10"/>
      <c r="AN20" s="11"/>
      <c r="AO20" s="154">
        <f t="shared" si="3"/>
        <v>-5</v>
      </c>
      <c r="AP20" s="10"/>
      <c r="AQ20" s="10"/>
      <c r="AR20" s="11"/>
      <c r="AS20" s="116"/>
      <c r="AU20" s="116"/>
      <c r="AV20" s="153" t="s">
        <v>198</v>
      </c>
      <c r="AW20" s="10"/>
      <c r="AX20" s="10"/>
      <c r="AY20" s="11"/>
      <c r="AZ20" s="108"/>
      <c r="BA20" s="10"/>
      <c r="BB20" s="10"/>
      <c r="BC20" s="11"/>
      <c r="BD20" s="154">
        <f t="shared" si="4"/>
        <v>-5</v>
      </c>
      <c r="BE20" s="10"/>
      <c r="BF20" s="10"/>
      <c r="BG20" s="11"/>
      <c r="BH20" s="116"/>
    </row>
    <row r="21">
      <c r="B21" s="116"/>
      <c r="C21" s="153" t="s">
        <v>199</v>
      </c>
      <c r="D21" s="10"/>
      <c r="E21" s="10"/>
      <c r="F21" s="11"/>
      <c r="G21" s="108"/>
      <c r="H21" s="10"/>
      <c r="I21" s="10"/>
      <c r="J21" s="11"/>
      <c r="K21" s="154">
        <f t="shared" si="1"/>
        <v>-5</v>
      </c>
      <c r="L21" s="10"/>
      <c r="M21" s="10"/>
      <c r="N21" s="11"/>
      <c r="O21" s="116"/>
      <c r="Q21" s="116"/>
      <c r="R21" s="153" t="s">
        <v>199</v>
      </c>
      <c r="S21" s="10"/>
      <c r="T21" s="10"/>
      <c r="U21" s="11"/>
      <c r="V21" s="108"/>
      <c r="W21" s="10"/>
      <c r="X21" s="10"/>
      <c r="Y21" s="11"/>
      <c r="Z21" s="154">
        <f t="shared" si="2"/>
        <v>-5</v>
      </c>
      <c r="AA21" s="10"/>
      <c r="AB21" s="10"/>
      <c r="AC21" s="11"/>
      <c r="AD21" s="116"/>
      <c r="AF21" s="116"/>
      <c r="AG21" s="153" t="s">
        <v>199</v>
      </c>
      <c r="AH21" s="10"/>
      <c r="AI21" s="10"/>
      <c r="AJ21" s="11"/>
      <c r="AK21" s="108"/>
      <c r="AL21" s="10"/>
      <c r="AM21" s="10"/>
      <c r="AN21" s="11"/>
      <c r="AO21" s="154">
        <f t="shared" si="3"/>
        <v>-5</v>
      </c>
      <c r="AP21" s="10"/>
      <c r="AQ21" s="10"/>
      <c r="AR21" s="11"/>
      <c r="AS21" s="116"/>
      <c r="AU21" s="116"/>
      <c r="AV21" s="153" t="s">
        <v>199</v>
      </c>
      <c r="AW21" s="10"/>
      <c r="AX21" s="10"/>
      <c r="AY21" s="11"/>
      <c r="AZ21" s="108"/>
      <c r="BA21" s="10"/>
      <c r="BB21" s="10"/>
      <c r="BC21" s="11"/>
      <c r="BD21" s="154">
        <f t="shared" si="4"/>
        <v>-5</v>
      </c>
      <c r="BE21" s="10"/>
      <c r="BF21" s="10"/>
      <c r="BG21" s="11"/>
      <c r="BH21" s="116"/>
    </row>
    <row r="22">
      <c r="B22" s="116"/>
      <c r="C22" s="153" t="s">
        <v>200</v>
      </c>
      <c r="D22" s="10"/>
      <c r="E22" s="10"/>
      <c r="F22" s="11"/>
      <c r="G22" s="108"/>
      <c r="H22" s="10"/>
      <c r="I22" s="10"/>
      <c r="J22" s="11"/>
      <c r="K22" s="154">
        <f t="shared" si="1"/>
        <v>-5</v>
      </c>
      <c r="L22" s="10"/>
      <c r="M22" s="10"/>
      <c r="N22" s="11"/>
      <c r="O22" s="116"/>
      <c r="Q22" s="116"/>
      <c r="R22" s="153" t="s">
        <v>200</v>
      </c>
      <c r="S22" s="10"/>
      <c r="T22" s="10"/>
      <c r="U22" s="11"/>
      <c r="V22" s="108"/>
      <c r="W22" s="10"/>
      <c r="X22" s="10"/>
      <c r="Y22" s="11"/>
      <c r="Z22" s="154">
        <f t="shared" si="2"/>
        <v>-5</v>
      </c>
      <c r="AA22" s="10"/>
      <c r="AB22" s="10"/>
      <c r="AC22" s="11"/>
      <c r="AD22" s="116"/>
      <c r="AF22" s="116"/>
      <c r="AG22" s="153" t="s">
        <v>200</v>
      </c>
      <c r="AH22" s="10"/>
      <c r="AI22" s="10"/>
      <c r="AJ22" s="11"/>
      <c r="AK22" s="108"/>
      <c r="AL22" s="10"/>
      <c r="AM22" s="10"/>
      <c r="AN22" s="11"/>
      <c r="AO22" s="154">
        <f t="shared" si="3"/>
        <v>-5</v>
      </c>
      <c r="AP22" s="10"/>
      <c r="AQ22" s="10"/>
      <c r="AR22" s="11"/>
      <c r="AS22" s="116"/>
      <c r="AU22" s="116"/>
      <c r="AV22" s="153" t="s">
        <v>200</v>
      </c>
      <c r="AW22" s="10"/>
      <c r="AX22" s="10"/>
      <c r="AY22" s="11"/>
      <c r="AZ22" s="108"/>
      <c r="BA22" s="10"/>
      <c r="BB22" s="10"/>
      <c r="BC22" s="11"/>
      <c r="BD22" s="154">
        <f t="shared" si="4"/>
        <v>-5</v>
      </c>
      <c r="BE22" s="10"/>
      <c r="BF22" s="10"/>
      <c r="BG22" s="11"/>
      <c r="BH22" s="116"/>
    </row>
    <row r="23">
      <c r="B23" s="116"/>
      <c r="C23" s="155" t="s">
        <v>201</v>
      </c>
      <c r="D23" s="10"/>
      <c r="E23" s="10"/>
      <c r="F23" s="11"/>
      <c r="G23" s="108"/>
      <c r="H23" s="10"/>
      <c r="I23" s="10"/>
      <c r="J23" s="11"/>
      <c r="K23" s="154">
        <f t="shared" si="1"/>
        <v>-5</v>
      </c>
      <c r="L23" s="10"/>
      <c r="M23" s="10"/>
      <c r="N23" s="11"/>
      <c r="O23" s="116"/>
      <c r="Q23" s="116"/>
      <c r="R23" s="155" t="s">
        <v>201</v>
      </c>
      <c r="S23" s="10"/>
      <c r="T23" s="10"/>
      <c r="U23" s="11"/>
      <c r="V23" s="108"/>
      <c r="W23" s="10"/>
      <c r="X23" s="10"/>
      <c r="Y23" s="11"/>
      <c r="Z23" s="154">
        <f t="shared" si="2"/>
        <v>-5</v>
      </c>
      <c r="AA23" s="10"/>
      <c r="AB23" s="10"/>
      <c r="AC23" s="11"/>
      <c r="AD23" s="116"/>
      <c r="AF23" s="116"/>
      <c r="AG23" s="155" t="s">
        <v>201</v>
      </c>
      <c r="AH23" s="10"/>
      <c r="AI23" s="10"/>
      <c r="AJ23" s="11"/>
      <c r="AK23" s="108"/>
      <c r="AL23" s="10"/>
      <c r="AM23" s="10"/>
      <c r="AN23" s="11"/>
      <c r="AO23" s="154">
        <f t="shared" si="3"/>
        <v>-5</v>
      </c>
      <c r="AP23" s="10"/>
      <c r="AQ23" s="10"/>
      <c r="AR23" s="11"/>
      <c r="AS23" s="116"/>
      <c r="AU23" s="116"/>
      <c r="AV23" s="155" t="s">
        <v>201</v>
      </c>
      <c r="AW23" s="10"/>
      <c r="AX23" s="10"/>
      <c r="AY23" s="11"/>
      <c r="AZ23" s="108"/>
      <c r="BA23" s="10"/>
      <c r="BB23" s="10"/>
      <c r="BC23" s="11"/>
      <c r="BD23" s="154">
        <f t="shared" si="4"/>
        <v>-5</v>
      </c>
      <c r="BE23" s="10"/>
      <c r="BF23" s="10"/>
      <c r="BG23" s="11"/>
      <c r="BH23" s="116"/>
    </row>
    <row r="24">
      <c r="B24" s="116"/>
      <c r="C24" s="156" t="s">
        <v>202</v>
      </c>
      <c r="D24" s="10"/>
      <c r="E24" s="10"/>
      <c r="F24" s="10"/>
      <c r="G24" s="10"/>
      <c r="H24" s="10"/>
      <c r="I24" s="10"/>
      <c r="J24" s="10"/>
      <c r="K24" s="10"/>
      <c r="L24" s="10"/>
      <c r="M24" s="10"/>
      <c r="N24" s="11"/>
      <c r="O24" s="116"/>
      <c r="Q24" s="116"/>
      <c r="R24" s="156" t="s">
        <v>202</v>
      </c>
      <c r="S24" s="10"/>
      <c r="T24" s="10"/>
      <c r="U24" s="10"/>
      <c r="V24" s="10"/>
      <c r="W24" s="10"/>
      <c r="X24" s="10"/>
      <c r="Y24" s="10"/>
      <c r="Z24" s="10"/>
      <c r="AA24" s="10"/>
      <c r="AB24" s="10"/>
      <c r="AC24" s="11"/>
      <c r="AD24" s="116"/>
      <c r="AF24" s="116"/>
      <c r="AG24" s="156" t="s">
        <v>202</v>
      </c>
      <c r="AH24" s="10"/>
      <c r="AI24" s="10"/>
      <c r="AJ24" s="10"/>
      <c r="AK24" s="10"/>
      <c r="AL24" s="10"/>
      <c r="AM24" s="10"/>
      <c r="AN24" s="10"/>
      <c r="AO24" s="10"/>
      <c r="AP24" s="10"/>
      <c r="AQ24" s="10"/>
      <c r="AR24" s="11"/>
      <c r="AS24" s="116"/>
      <c r="AU24" s="116"/>
      <c r="AV24" s="156" t="s">
        <v>202</v>
      </c>
      <c r="AW24" s="10"/>
      <c r="AX24" s="10"/>
      <c r="AY24" s="10"/>
      <c r="AZ24" s="10"/>
      <c r="BA24" s="10"/>
      <c r="BB24" s="10"/>
      <c r="BC24" s="10"/>
      <c r="BD24" s="10"/>
      <c r="BE24" s="10"/>
      <c r="BF24" s="10"/>
      <c r="BG24" s="11"/>
      <c r="BH24" s="116"/>
    </row>
    <row r="25">
      <c r="B25" s="116"/>
      <c r="C25" s="157"/>
      <c r="D25" s="10"/>
      <c r="E25" s="10"/>
      <c r="F25" s="10"/>
      <c r="G25" s="10"/>
      <c r="H25" s="11"/>
      <c r="I25" s="157"/>
      <c r="J25" s="10"/>
      <c r="K25" s="10"/>
      <c r="L25" s="10"/>
      <c r="M25" s="10"/>
      <c r="N25" s="11"/>
      <c r="O25" s="116"/>
      <c r="Q25" s="116"/>
      <c r="R25" s="157"/>
      <c r="S25" s="10"/>
      <c r="T25" s="10"/>
      <c r="U25" s="10"/>
      <c r="V25" s="10"/>
      <c r="W25" s="11"/>
      <c r="X25" s="157"/>
      <c r="Y25" s="10"/>
      <c r="Z25" s="10"/>
      <c r="AA25" s="10"/>
      <c r="AB25" s="10"/>
      <c r="AC25" s="11"/>
      <c r="AD25" s="116"/>
      <c r="AF25" s="116"/>
      <c r="AG25" s="157"/>
      <c r="AH25" s="10"/>
      <c r="AI25" s="10"/>
      <c r="AJ25" s="10"/>
      <c r="AK25" s="10"/>
      <c r="AL25" s="11"/>
      <c r="AM25" s="157"/>
      <c r="AN25" s="10"/>
      <c r="AO25" s="10"/>
      <c r="AP25" s="10"/>
      <c r="AQ25" s="10"/>
      <c r="AR25" s="11"/>
      <c r="AS25" s="116"/>
      <c r="AU25" s="116"/>
      <c r="AV25" s="157"/>
      <c r="AW25" s="10"/>
      <c r="AX25" s="10"/>
      <c r="AY25" s="10"/>
      <c r="AZ25" s="10"/>
      <c r="BA25" s="11"/>
      <c r="BB25" s="157"/>
      <c r="BC25" s="10"/>
      <c r="BD25" s="10"/>
      <c r="BE25" s="10"/>
      <c r="BF25" s="10"/>
      <c r="BG25" s="11"/>
      <c r="BH25" s="116"/>
    </row>
    <row r="26">
      <c r="B26" s="116"/>
      <c r="C26" s="157"/>
      <c r="D26" s="10"/>
      <c r="E26" s="10"/>
      <c r="F26" s="10"/>
      <c r="G26" s="10"/>
      <c r="H26" s="11"/>
      <c r="I26" s="157"/>
      <c r="J26" s="10"/>
      <c r="K26" s="10"/>
      <c r="L26" s="10"/>
      <c r="M26" s="10"/>
      <c r="N26" s="11"/>
      <c r="O26" s="116"/>
      <c r="Q26" s="116"/>
      <c r="R26" s="157"/>
      <c r="S26" s="10"/>
      <c r="T26" s="10"/>
      <c r="U26" s="10"/>
      <c r="V26" s="10"/>
      <c r="W26" s="11"/>
      <c r="X26" s="157"/>
      <c r="Y26" s="10"/>
      <c r="Z26" s="10"/>
      <c r="AA26" s="10"/>
      <c r="AB26" s="10"/>
      <c r="AC26" s="11"/>
      <c r="AD26" s="116"/>
      <c r="AF26" s="116"/>
      <c r="AG26" s="157"/>
      <c r="AH26" s="10"/>
      <c r="AI26" s="10"/>
      <c r="AJ26" s="10"/>
      <c r="AK26" s="10"/>
      <c r="AL26" s="11"/>
      <c r="AM26" s="157"/>
      <c r="AN26" s="10"/>
      <c r="AO26" s="10"/>
      <c r="AP26" s="10"/>
      <c r="AQ26" s="10"/>
      <c r="AR26" s="11"/>
      <c r="AS26" s="116"/>
      <c r="AU26" s="116"/>
      <c r="AV26" s="157"/>
      <c r="AW26" s="10"/>
      <c r="AX26" s="10"/>
      <c r="AY26" s="10"/>
      <c r="AZ26" s="10"/>
      <c r="BA26" s="11"/>
      <c r="BB26" s="157"/>
      <c r="BC26" s="10"/>
      <c r="BD26" s="10"/>
      <c r="BE26" s="10"/>
      <c r="BF26" s="10"/>
      <c r="BG26" s="11"/>
      <c r="BH26" s="116"/>
    </row>
    <row r="27">
      <c r="B27" s="116"/>
      <c r="C27" s="157"/>
      <c r="D27" s="10"/>
      <c r="E27" s="10"/>
      <c r="F27" s="10"/>
      <c r="G27" s="10"/>
      <c r="H27" s="11"/>
      <c r="I27" s="157"/>
      <c r="J27" s="10"/>
      <c r="K27" s="10"/>
      <c r="L27" s="10"/>
      <c r="M27" s="10"/>
      <c r="N27" s="11"/>
      <c r="O27" s="116"/>
      <c r="Q27" s="116"/>
      <c r="R27" s="157"/>
      <c r="S27" s="10"/>
      <c r="T27" s="10"/>
      <c r="U27" s="10"/>
      <c r="V27" s="10"/>
      <c r="W27" s="11"/>
      <c r="X27" s="157"/>
      <c r="Y27" s="10"/>
      <c r="Z27" s="10"/>
      <c r="AA27" s="10"/>
      <c r="AB27" s="10"/>
      <c r="AC27" s="11"/>
      <c r="AD27" s="116"/>
      <c r="AF27" s="116"/>
      <c r="AG27" s="157"/>
      <c r="AH27" s="10"/>
      <c r="AI27" s="10"/>
      <c r="AJ27" s="10"/>
      <c r="AK27" s="10"/>
      <c r="AL27" s="11"/>
      <c r="AM27" s="157"/>
      <c r="AN27" s="10"/>
      <c r="AO27" s="10"/>
      <c r="AP27" s="10"/>
      <c r="AQ27" s="10"/>
      <c r="AR27" s="11"/>
      <c r="AS27" s="116"/>
      <c r="AU27" s="116"/>
      <c r="AV27" s="157"/>
      <c r="AW27" s="10"/>
      <c r="AX27" s="10"/>
      <c r="AY27" s="10"/>
      <c r="AZ27" s="10"/>
      <c r="BA27" s="11"/>
      <c r="BB27" s="157"/>
      <c r="BC27" s="10"/>
      <c r="BD27" s="10"/>
      <c r="BE27" s="10"/>
      <c r="BF27" s="10"/>
      <c r="BG27" s="11"/>
      <c r="BH27" s="116"/>
    </row>
    <row r="28">
      <c r="B28" s="116"/>
      <c r="C28" s="157"/>
      <c r="D28" s="10"/>
      <c r="E28" s="10"/>
      <c r="F28" s="10"/>
      <c r="G28" s="10"/>
      <c r="H28" s="11"/>
      <c r="I28" s="157"/>
      <c r="J28" s="10"/>
      <c r="K28" s="10"/>
      <c r="L28" s="10"/>
      <c r="M28" s="10"/>
      <c r="N28" s="11"/>
      <c r="O28" s="116"/>
      <c r="Q28" s="116"/>
      <c r="R28" s="157"/>
      <c r="S28" s="10"/>
      <c r="T28" s="10"/>
      <c r="U28" s="10"/>
      <c r="V28" s="10"/>
      <c r="W28" s="11"/>
      <c r="X28" s="157"/>
      <c r="Y28" s="10"/>
      <c r="Z28" s="10"/>
      <c r="AA28" s="10"/>
      <c r="AB28" s="10"/>
      <c r="AC28" s="11"/>
      <c r="AD28" s="116"/>
      <c r="AF28" s="116"/>
      <c r="AG28" s="157"/>
      <c r="AH28" s="10"/>
      <c r="AI28" s="10"/>
      <c r="AJ28" s="10"/>
      <c r="AK28" s="10"/>
      <c r="AL28" s="11"/>
      <c r="AM28" s="157"/>
      <c r="AN28" s="10"/>
      <c r="AO28" s="10"/>
      <c r="AP28" s="10"/>
      <c r="AQ28" s="10"/>
      <c r="AR28" s="11"/>
      <c r="AS28" s="116"/>
      <c r="AU28" s="116"/>
      <c r="AV28" s="157"/>
      <c r="AW28" s="10"/>
      <c r="AX28" s="10"/>
      <c r="AY28" s="10"/>
      <c r="AZ28" s="10"/>
      <c r="BA28" s="11"/>
      <c r="BB28" s="157"/>
      <c r="BC28" s="10"/>
      <c r="BD28" s="10"/>
      <c r="BE28" s="10"/>
      <c r="BF28" s="10"/>
      <c r="BG28" s="11"/>
      <c r="BH28" s="116"/>
    </row>
    <row r="29">
      <c r="B29" s="116"/>
      <c r="C29" s="157"/>
      <c r="D29" s="10"/>
      <c r="E29" s="10"/>
      <c r="F29" s="10"/>
      <c r="G29" s="10"/>
      <c r="H29" s="11"/>
      <c r="I29" s="157"/>
      <c r="J29" s="10"/>
      <c r="K29" s="10"/>
      <c r="L29" s="10"/>
      <c r="M29" s="10"/>
      <c r="N29" s="11"/>
      <c r="O29" s="116"/>
      <c r="Q29" s="116"/>
      <c r="R29" s="157"/>
      <c r="S29" s="10"/>
      <c r="T29" s="10"/>
      <c r="U29" s="10"/>
      <c r="V29" s="10"/>
      <c r="W29" s="11"/>
      <c r="X29" s="157"/>
      <c r="Y29" s="10"/>
      <c r="Z29" s="10"/>
      <c r="AA29" s="10"/>
      <c r="AB29" s="10"/>
      <c r="AC29" s="11"/>
      <c r="AD29" s="116"/>
      <c r="AF29" s="116"/>
      <c r="AG29" s="157"/>
      <c r="AH29" s="10"/>
      <c r="AI29" s="10"/>
      <c r="AJ29" s="10"/>
      <c r="AK29" s="10"/>
      <c r="AL29" s="11"/>
      <c r="AM29" s="157"/>
      <c r="AN29" s="10"/>
      <c r="AO29" s="10"/>
      <c r="AP29" s="10"/>
      <c r="AQ29" s="10"/>
      <c r="AR29" s="11"/>
      <c r="AS29" s="116"/>
      <c r="AU29" s="116"/>
      <c r="AV29" s="157"/>
      <c r="AW29" s="10"/>
      <c r="AX29" s="10"/>
      <c r="AY29" s="10"/>
      <c r="AZ29" s="10"/>
      <c r="BA29" s="11"/>
      <c r="BB29" s="157"/>
      <c r="BC29" s="10"/>
      <c r="BD29" s="10"/>
      <c r="BE29" s="10"/>
      <c r="BF29" s="10"/>
      <c r="BG29" s="11"/>
      <c r="BH29" s="116"/>
    </row>
    <row r="30">
      <c r="B30" s="116"/>
      <c r="C30" s="151" t="s">
        <v>203</v>
      </c>
      <c r="D30" s="10"/>
      <c r="E30" s="10"/>
      <c r="F30" s="10"/>
      <c r="G30" s="10"/>
      <c r="H30" s="10"/>
      <c r="I30" s="10"/>
      <c r="J30" s="10"/>
      <c r="K30" s="10"/>
      <c r="L30" s="10"/>
      <c r="M30" s="10"/>
      <c r="N30" s="11"/>
      <c r="O30" s="116"/>
      <c r="Q30" s="116"/>
      <c r="R30" s="151" t="s">
        <v>203</v>
      </c>
      <c r="S30" s="10"/>
      <c r="T30" s="10"/>
      <c r="U30" s="10"/>
      <c r="V30" s="10"/>
      <c r="W30" s="10"/>
      <c r="X30" s="10"/>
      <c r="Y30" s="10"/>
      <c r="Z30" s="10"/>
      <c r="AA30" s="10"/>
      <c r="AB30" s="10"/>
      <c r="AC30" s="11"/>
      <c r="AD30" s="116"/>
      <c r="AF30" s="116"/>
      <c r="AG30" s="151" t="s">
        <v>203</v>
      </c>
      <c r="AH30" s="10"/>
      <c r="AI30" s="10"/>
      <c r="AJ30" s="10"/>
      <c r="AK30" s="10"/>
      <c r="AL30" s="10"/>
      <c r="AM30" s="10"/>
      <c r="AN30" s="10"/>
      <c r="AO30" s="10"/>
      <c r="AP30" s="10"/>
      <c r="AQ30" s="10"/>
      <c r="AR30" s="11"/>
      <c r="AS30" s="116"/>
      <c r="AU30" s="116"/>
      <c r="AV30" s="151" t="s">
        <v>203</v>
      </c>
      <c r="AW30" s="10"/>
      <c r="AX30" s="10"/>
      <c r="AY30" s="10"/>
      <c r="AZ30" s="10"/>
      <c r="BA30" s="10"/>
      <c r="BB30" s="10"/>
      <c r="BC30" s="10"/>
      <c r="BD30" s="10"/>
      <c r="BE30" s="10"/>
      <c r="BF30" s="10"/>
      <c r="BG30" s="11"/>
      <c r="BH30" s="116"/>
    </row>
    <row r="31">
      <c r="B31" s="116"/>
      <c r="C31" s="48" t="s">
        <v>34</v>
      </c>
      <c r="D31" s="10"/>
      <c r="E31" s="10"/>
      <c r="F31" s="11"/>
      <c r="G31" s="158" t="s">
        <v>62</v>
      </c>
      <c r="H31" s="10"/>
      <c r="I31" s="11"/>
      <c r="J31" s="109" t="s">
        <v>45</v>
      </c>
      <c r="K31" s="11"/>
      <c r="L31" s="48" t="s">
        <v>204</v>
      </c>
      <c r="M31" s="10"/>
      <c r="N31" s="11"/>
      <c r="O31" s="116"/>
      <c r="Q31" s="116"/>
      <c r="R31" s="48" t="s">
        <v>34</v>
      </c>
      <c r="S31" s="10"/>
      <c r="T31" s="10"/>
      <c r="U31" s="11"/>
      <c r="V31" s="158" t="s">
        <v>62</v>
      </c>
      <c r="W31" s="10"/>
      <c r="X31" s="11"/>
      <c r="Y31" s="109" t="s">
        <v>45</v>
      </c>
      <c r="Z31" s="11"/>
      <c r="AA31" s="48" t="s">
        <v>204</v>
      </c>
      <c r="AB31" s="10"/>
      <c r="AC31" s="11"/>
      <c r="AD31" s="116"/>
      <c r="AF31" s="116"/>
      <c r="AG31" s="48" t="s">
        <v>34</v>
      </c>
      <c r="AH31" s="10"/>
      <c r="AI31" s="10"/>
      <c r="AJ31" s="11"/>
      <c r="AK31" s="158" t="s">
        <v>62</v>
      </c>
      <c r="AL31" s="10"/>
      <c r="AM31" s="11"/>
      <c r="AN31" s="109" t="s">
        <v>45</v>
      </c>
      <c r="AO31" s="11"/>
      <c r="AP31" s="48" t="s">
        <v>204</v>
      </c>
      <c r="AQ31" s="10"/>
      <c r="AR31" s="11"/>
      <c r="AS31" s="116"/>
      <c r="AU31" s="116"/>
      <c r="AV31" s="48" t="s">
        <v>34</v>
      </c>
      <c r="AW31" s="10"/>
      <c r="AX31" s="10"/>
      <c r="AY31" s="11"/>
      <c r="AZ31" s="158" t="s">
        <v>62</v>
      </c>
      <c r="BA31" s="10"/>
      <c r="BB31" s="11"/>
      <c r="BC31" s="109" t="s">
        <v>45</v>
      </c>
      <c r="BD31" s="11"/>
      <c r="BE31" s="48" t="s">
        <v>204</v>
      </c>
      <c r="BF31" s="10"/>
      <c r="BG31" s="11"/>
      <c r="BH31" s="116"/>
    </row>
    <row r="32">
      <c r="B32" s="116"/>
      <c r="C32" s="157"/>
      <c r="D32" s="10"/>
      <c r="E32" s="10"/>
      <c r="F32" s="11"/>
      <c r="G32" s="157"/>
      <c r="H32" s="10"/>
      <c r="I32" s="11"/>
      <c r="J32" s="159"/>
      <c r="K32" s="11"/>
      <c r="L32" s="160"/>
      <c r="M32" s="10"/>
      <c r="N32" s="11"/>
      <c r="O32" s="116"/>
      <c r="Q32" s="116"/>
      <c r="R32" s="157"/>
      <c r="S32" s="10"/>
      <c r="T32" s="10"/>
      <c r="U32" s="11"/>
      <c r="V32" s="157"/>
      <c r="W32" s="10"/>
      <c r="X32" s="11"/>
      <c r="Y32" s="159"/>
      <c r="Z32" s="11"/>
      <c r="AA32" s="160"/>
      <c r="AB32" s="10"/>
      <c r="AC32" s="11"/>
      <c r="AD32" s="116"/>
      <c r="AF32" s="116"/>
      <c r="AG32" s="157"/>
      <c r="AH32" s="10"/>
      <c r="AI32" s="10"/>
      <c r="AJ32" s="11"/>
      <c r="AK32" s="157"/>
      <c r="AL32" s="10"/>
      <c r="AM32" s="11"/>
      <c r="AN32" s="159"/>
      <c r="AO32" s="11"/>
      <c r="AP32" s="160"/>
      <c r="AQ32" s="10"/>
      <c r="AR32" s="11"/>
      <c r="AS32" s="116"/>
      <c r="AU32" s="116"/>
      <c r="AV32" s="157"/>
      <c r="AW32" s="10"/>
      <c r="AX32" s="10"/>
      <c r="AY32" s="11"/>
      <c r="AZ32" s="157"/>
      <c r="BA32" s="10"/>
      <c r="BB32" s="11"/>
      <c r="BC32" s="159"/>
      <c r="BD32" s="11"/>
      <c r="BE32" s="160"/>
      <c r="BF32" s="10"/>
      <c r="BG32" s="11"/>
      <c r="BH32" s="116"/>
    </row>
    <row r="33">
      <c r="B33" s="116"/>
      <c r="C33" s="157"/>
      <c r="D33" s="10"/>
      <c r="E33" s="10"/>
      <c r="F33" s="11"/>
      <c r="G33" s="157"/>
      <c r="H33" s="10"/>
      <c r="I33" s="11"/>
      <c r="J33" s="159"/>
      <c r="K33" s="11"/>
      <c r="L33" s="160"/>
      <c r="M33" s="10"/>
      <c r="N33" s="11"/>
      <c r="O33" s="116"/>
      <c r="Q33" s="116"/>
      <c r="R33" s="157"/>
      <c r="S33" s="10"/>
      <c r="T33" s="10"/>
      <c r="U33" s="11"/>
      <c r="V33" s="157"/>
      <c r="W33" s="10"/>
      <c r="X33" s="11"/>
      <c r="Y33" s="159"/>
      <c r="Z33" s="11"/>
      <c r="AA33" s="160"/>
      <c r="AB33" s="10"/>
      <c r="AC33" s="11"/>
      <c r="AD33" s="116"/>
      <c r="AF33" s="116"/>
      <c r="AG33" s="157"/>
      <c r="AH33" s="10"/>
      <c r="AI33" s="10"/>
      <c r="AJ33" s="11"/>
      <c r="AK33" s="157"/>
      <c r="AL33" s="10"/>
      <c r="AM33" s="11"/>
      <c r="AN33" s="159"/>
      <c r="AO33" s="11"/>
      <c r="AP33" s="160"/>
      <c r="AQ33" s="10"/>
      <c r="AR33" s="11"/>
      <c r="AS33" s="116"/>
      <c r="AU33" s="116"/>
      <c r="AV33" s="157"/>
      <c r="AW33" s="10"/>
      <c r="AX33" s="10"/>
      <c r="AY33" s="11"/>
      <c r="AZ33" s="157"/>
      <c r="BA33" s="10"/>
      <c r="BB33" s="11"/>
      <c r="BC33" s="159"/>
      <c r="BD33" s="11"/>
      <c r="BE33" s="160"/>
      <c r="BF33" s="10"/>
      <c r="BG33" s="11"/>
      <c r="BH33" s="116"/>
    </row>
    <row r="34">
      <c r="B34" s="116"/>
      <c r="C34" s="157"/>
      <c r="D34" s="10"/>
      <c r="E34" s="10"/>
      <c r="F34" s="11"/>
      <c r="G34" s="157"/>
      <c r="H34" s="10"/>
      <c r="I34" s="11"/>
      <c r="J34" s="159"/>
      <c r="K34" s="11"/>
      <c r="L34" s="160"/>
      <c r="M34" s="10"/>
      <c r="N34" s="11"/>
      <c r="O34" s="116"/>
      <c r="Q34" s="116"/>
      <c r="R34" s="157"/>
      <c r="S34" s="10"/>
      <c r="T34" s="10"/>
      <c r="U34" s="11"/>
      <c r="V34" s="157"/>
      <c r="W34" s="10"/>
      <c r="X34" s="11"/>
      <c r="Y34" s="159"/>
      <c r="Z34" s="11"/>
      <c r="AA34" s="160"/>
      <c r="AB34" s="10"/>
      <c r="AC34" s="11"/>
      <c r="AD34" s="116"/>
      <c r="AF34" s="116"/>
      <c r="AG34" s="157"/>
      <c r="AH34" s="10"/>
      <c r="AI34" s="10"/>
      <c r="AJ34" s="11"/>
      <c r="AK34" s="157"/>
      <c r="AL34" s="10"/>
      <c r="AM34" s="11"/>
      <c r="AN34" s="159"/>
      <c r="AO34" s="11"/>
      <c r="AP34" s="160"/>
      <c r="AQ34" s="10"/>
      <c r="AR34" s="11"/>
      <c r="AS34" s="116"/>
      <c r="AU34" s="116"/>
      <c r="AV34" s="157"/>
      <c r="AW34" s="10"/>
      <c r="AX34" s="10"/>
      <c r="AY34" s="11"/>
      <c r="AZ34" s="157"/>
      <c r="BA34" s="10"/>
      <c r="BB34" s="11"/>
      <c r="BC34" s="159"/>
      <c r="BD34" s="11"/>
      <c r="BE34" s="160"/>
      <c r="BF34" s="10"/>
      <c r="BG34" s="11"/>
      <c r="BH34" s="116"/>
    </row>
    <row r="35">
      <c r="B35" s="116"/>
      <c r="C35" s="157"/>
      <c r="D35" s="10"/>
      <c r="E35" s="10"/>
      <c r="F35" s="11"/>
      <c r="G35" s="157"/>
      <c r="H35" s="10"/>
      <c r="I35" s="11"/>
      <c r="J35" s="159"/>
      <c r="K35" s="11"/>
      <c r="L35" s="160"/>
      <c r="M35" s="10"/>
      <c r="N35" s="11"/>
      <c r="O35" s="116"/>
      <c r="Q35" s="116"/>
      <c r="R35" s="157"/>
      <c r="S35" s="10"/>
      <c r="T35" s="10"/>
      <c r="U35" s="11"/>
      <c r="V35" s="157"/>
      <c r="W35" s="10"/>
      <c r="X35" s="11"/>
      <c r="Y35" s="159"/>
      <c r="Z35" s="11"/>
      <c r="AA35" s="160"/>
      <c r="AB35" s="10"/>
      <c r="AC35" s="11"/>
      <c r="AD35" s="116"/>
      <c r="AF35" s="116"/>
      <c r="AG35" s="157"/>
      <c r="AH35" s="10"/>
      <c r="AI35" s="10"/>
      <c r="AJ35" s="11"/>
      <c r="AK35" s="157"/>
      <c r="AL35" s="10"/>
      <c r="AM35" s="11"/>
      <c r="AN35" s="159"/>
      <c r="AO35" s="11"/>
      <c r="AP35" s="160"/>
      <c r="AQ35" s="10"/>
      <c r="AR35" s="11"/>
      <c r="AS35" s="116"/>
      <c r="AU35" s="116"/>
      <c r="AV35" s="157"/>
      <c r="AW35" s="10"/>
      <c r="AX35" s="10"/>
      <c r="AY35" s="11"/>
      <c r="AZ35" s="157"/>
      <c r="BA35" s="10"/>
      <c r="BB35" s="11"/>
      <c r="BC35" s="159"/>
      <c r="BD35" s="11"/>
      <c r="BE35" s="160"/>
      <c r="BF35" s="10"/>
      <c r="BG35" s="11"/>
      <c r="BH35" s="116"/>
    </row>
    <row r="36">
      <c r="B36" s="116"/>
      <c r="C36" s="157"/>
      <c r="D36" s="10"/>
      <c r="E36" s="10"/>
      <c r="F36" s="11"/>
      <c r="G36" s="157"/>
      <c r="H36" s="10"/>
      <c r="I36" s="11"/>
      <c r="J36" s="159"/>
      <c r="K36" s="11"/>
      <c r="L36" s="160"/>
      <c r="M36" s="10"/>
      <c r="N36" s="11"/>
      <c r="O36" s="116"/>
      <c r="Q36" s="116"/>
      <c r="R36" s="157"/>
      <c r="S36" s="10"/>
      <c r="T36" s="10"/>
      <c r="U36" s="11"/>
      <c r="V36" s="157"/>
      <c r="W36" s="10"/>
      <c r="X36" s="11"/>
      <c r="Y36" s="159"/>
      <c r="Z36" s="11"/>
      <c r="AA36" s="160"/>
      <c r="AB36" s="10"/>
      <c r="AC36" s="11"/>
      <c r="AD36" s="116"/>
      <c r="AF36" s="116"/>
      <c r="AG36" s="157"/>
      <c r="AH36" s="10"/>
      <c r="AI36" s="10"/>
      <c r="AJ36" s="11"/>
      <c r="AK36" s="157"/>
      <c r="AL36" s="10"/>
      <c r="AM36" s="11"/>
      <c r="AN36" s="159"/>
      <c r="AO36" s="11"/>
      <c r="AP36" s="160"/>
      <c r="AQ36" s="10"/>
      <c r="AR36" s="11"/>
      <c r="AS36" s="116"/>
      <c r="AU36" s="116"/>
      <c r="AV36" s="157"/>
      <c r="AW36" s="10"/>
      <c r="AX36" s="10"/>
      <c r="AY36" s="11"/>
      <c r="AZ36" s="157"/>
      <c r="BA36" s="10"/>
      <c r="BB36" s="11"/>
      <c r="BC36" s="159"/>
      <c r="BD36" s="11"/>
      <c r="BE36" s="160"/>
      <c r="BF36" s="10"/>
      <c r="BG36" s="11"/>
      <c r="BH36" s="116"/>
    </row>
    <row r="37">
      <c r="B37" s="116"/>
      <c r="C37" s="157"/>
      <c r="D37" s="10"/>
      <c r="E37" s="10"/>
      <c r="F37" s="11"/>
      <c r="G37" s="157"/>
      <c r="H37" s="10"/>
      <c r="I37" s="11"/>
      <c r="J37" s="159"/>
      <c r="K37" s="11"/>
      <c r="L37" s="160"/>
      <c r="M37" s="10"/>
      <c r="N37" s="11"/>
      <c r="O37" s="116"/>
      <c r="Q37" s="116"/>
      <c r="R37" s="157"/>
      <c r="S37" s="10"/>
      <c r="T37" s="10"/>
      <c r="U37" s="11"/>
      <c r="V37" s="157"/>
      <c r="W37" s="10"/>
      <c r="X37" s="11"/>
      <c r="Y37" s="159"/>
      <c r="Z37" s="11"/>
      <c r="AA37" s="160"/>
      <c r="AB37" s="10"/>
      <c r="AC37" s="11"/>
      <c r="AD37" s="116"/>
      <c r="AF37" s="116"/>
      <c r="AG37" s="157"/>
      <c r="AH37" s="10"/>
      <c r="AI37" s="10"/>
      <c r="AJ37" s="11"/>
      <c r="AK37" s="157"/>
      <c r="AL37" s="10"/>
      <c r="AM37" s="11"/>
      <c r="AN37" s="159"/>
      <c r="AO37" s="11"/>
      <c r="AP37" s="160"/>
      <c r="AQ37" s="10"/>
      <c r="AR37" s="11"/>
      <c r="AS37" s="116"/>
      <c r="AU37" s="116"/>
      <c r="AV37" s="157"/>
      <c r="AW37" s="10"/>
      <c r="AX37" s="10"/>
      <c r="AY37" s="11"/>
      <c r="AZ37" s="157"/>
      <c r="BA37" s="10"/>
      <c r="BB37" s="11"/>
      <c r="BC37" s="159"/>
      <c r="BD37" s="11"/>
      <c r="BE37" s="160"/>
      <c r="BF37" s="10"/>
      <c r="BG37" s="11"/>
      <c r="BH37" s="116"/>
    </row>
    <row r="38">
      <c r="B38" s="116"/>
      <c r="C38" s="157"/>
      <c r="D38" s="10"/>
      <c r="E38" s="10"/>
      <c r="F38" s="11"/>
      <c r="G38" s="157"/>
      <c r="H38" s="10"/>
      <c r="I38" s="11"/>
      <c r="J38" s="159"/>
      <c r="K38" s="11"/>
      <c r="L38" s="160"/>
      <c r="M38" s="10"/>
      <c r="N38" s="11"/>
      <c r="O38" s="116"/>
      <c r="Q38" s="116"/>
      <c r="R38" s="157"/>
      <c r="S38" s="10"/>
      <c r="T38" s="10"/>
      <c r="U38" s="11"/>
      <c r="V38" s="157"/>
      <c r="W38" s="10"/>
      <c r="X38" s="11"/>
      <c r="Y38" s="159"/>
      <c r="Z38" s="11"/>
      <c r="AA38" s="160"/>
      <c r="AB38" s="10"/>
      <c r="AC38" s="11"/>
      <c r="AD38" s="116"/>
      <c r="AF38" s="116"/>
      <c r="AG38" s="157"/>
      <c r="AH38" s="10"/>
      <c r="AI38" s="10"/>
      <c r="AJ38" s="11"/>
      <c r="AK38" s="157"/>
      <c r="AL38" s="10"/>
      <c r="AM38" s="11"/>
      <c r="AN38" s="159"/>
      <c r="AO38" s="11"/>
      <c r="AP38" s="160"/>
      <c r="AQ38" s="10"/>
      <c r="AR38" s="11"/>
      <c r="AS38" s="116"/>
      <c r="AU38" s="116"/>
      <c r="AV38" s="157"/>
      <c r="AW38" s="10"/>
      <c r="AX38" s="10"/>
      <c r="AY38" s="11"/>
      <c r="AZ38" s="157"/>
      <c r="BA38" s="10"/>
      <c r="BB38" s="11"/>
      <c r="BC38" s="159"/>
      <c r="BD38" s="11"/>
      <c r="BE38" s="160"/>
      <c r="BF38" s="10"/>
      <c r="BG38" s="11"/>
      <c r="BH38" s="116"/>
    </row>
    <row r="39">
      <c r="B39" s="116"/>
      <c r="C39" s="157"/>
      <c r="D39" s="10"/>
      <c r="E39" s="10"/>
      <c r="F39" s="11"/>
      <c r="G39" s="157"/>
      <c r="H39" s="10"/>
      <c r="I39" s="11"/>
      <c r="J39" s="159"/>
      <c r="K39" s="11"/>
      <c r="L39" s="160"/>
      <c r="M39" s="10"/>
      <c r="N39" s="11"/>
      <c r="O39" s="116"/>
      <c r="Q39" s="116"/>
      <c r="R39" s="157"/>
      <c r="S39" s="10"/>
      <c r="T39" s="10"/>
      <c r="U39" s="11"/>
      <c r="V39" s="157"/>
      <c r="W39" s="10"/>
      <c r="X39" s="11"/>
      <c r="Y39" s="159"/>
      <c r="Z39" s="11"/>
      <c r="AA39" s="160"/>
      <c r="AB39" s="10"/>
      <c r="AC39" s="11"/>
      <c r="AD39" s="116"/>
      <c r="AF39" s="116"/>
      <c r="AG39" s="157"/>
      <c r="AH39" s="10"/>
      <c r="AI39" s="10"/>
      <c r="AJ39" s="11"/>
      <c r="AK39" s="157"/>
      <c r="AL39" s="10"/>
      <c r="AM39" s="11"/>
      <c r="AN39" s="159"/>
      <c r="AO39" s="11"/>
      <c r="AP39" s="160"/>
      <c r="AQ39" s="10"/>
      <c r="AR39" s="11"/>
      <c r="AS39" s="116"/>
      <c r="AU39" s="116"/>
      <c r="AV39" s="157"/>
      <c r="AW39" s="10"/>
      <c r="AX39" s="10"/>
      <c r="AY39" s="11"/>
      <c r="AZ39" s="157"/>
      <c r="BA39" s="10"/>
      <c r="BB39" s="11"/>
      <c r="BC39" s="159"/>
      <c r="BD39" s="11"/>
      <c r="BE39" s="160"/>
      <c r="BF39" s="10"/>
      <c r="BG39" s="11"/>
      <c r="BH39" s="116"/>
    </row>
    <row r="40">
      <c r="B40" s="116"/>
      <c r="C40" s="157"/>
      <c r="D40" s="10"/>
      <c r="E40" s="10"/>
      <c r="F40" s="11"/>
      <c r="G40" s="157"/>
      <c r="H40" s="10"/>
      <c r="I40" s="11"/>
      <c r="J40" s="159"/>
      <c r="K40" s="11"/>
      <c r="L40" s="160"/>
      <c r="M40" s="10"/>
      <c r="N40" s="11"/>
      <c r="O40" s="116"/>
      <c r="Q40" s="116"/>
      <c r="R40" s="157"/>
      <c r="S40" s="10"/>
      <c r="T40" s="10"/>
      <c r="U40" s="11"/>
      <c r="V40" s="157"/>
      <c r="W40" s="10"/>
      <c r="X40" s="11"/>
      <c r="Y40" s="159"/>
      <c r="Z40" s="11"/>
      <c r="AA40" s="160"/>
      <c r="AB40" s="10"/>
      <c r="AC40" s="11"/>
      <c r="AD40" s="116"/>
      <c r="AF40" s="116"/>
      <c r="AG40" s="157"/>
      <c r="AH40" s="10"/>
      <c r="AI40" s="10"/>
      <c r="AJ40" s="11"/>
      <c r="AK40" s="157"/>
      <c r="AL40" s="10"/>
      <c r="AM40" s="11"/>
      <c r="AN40" s="159"/>
      <c r="AO40" s="11"/>
      <c r="AP40" s="160"/>
      <c r="AQ40" s="10"/>
      <c r="AR40" s="11"/>
      <c r="AS40" s="116"/>
      <c r="AU40" s="116"/>
      <c r="AV40" s="157"/>
      <c r="AW40" s="10"/>
      <c r="AX40" s="10"/>
      <c r="AY40" s="11"/>
      <c r="AZ40" s="157"/>
      <c r="BA40" s="10"/>
      <c r="BB40" s="11"/>
      <c r="BC40" s="159"/>
      <c r="BD40" s="11"/>
      <c r="BE40" s="160"/>
      <c r="BF40" s="10"/>
      <c r="BG40" s="11"/>
      <c r="BH40" s="116"/>
    </row>
    <row r="41">
      <c r="B41" s="116"/>
      <c r="C41" s="161"/>
      <c r="D41" s="10"/>
      <c r="E41" s="10"/>
      <c r="F41" s="11"/>
      <c r="G41" s="161"/>
      <c r="H41" s="10"/>
      <c r="I41" s="11"/>
      <c r="J41" s="159"/>
      <c r="K41" s="11"/>
      <c r="L41" s="160"/>
      <c r="M41" s="10"/>
      <c r="N41" s="11"/>
      <c r="O41" s="116"/>
      <c r="Q41" s="116"/>
      <c r="R41" s="161"/>
      <c r="S41" s="10"/>
      <c r="T41" s="10"/>
      <c r="U41" s="11"/>
      <c r="V41" s="161"/>
      <c r="W41" s="10"/>
      <c r="X41" s="11"/>
      <c r="Y41" s="159"/>
      <c r="Z41" s="11"/>
      <c r="AA41" s="160"/>
      <c r="AB41" s="10"/>
      <c r="AC41" s="11"/>
      <c r="AD41" s="116"/>
      <c r="AF41" s="116"/>
      <c r="AG41" s="161"/>
      <c r="AH41" s="10"/>
      <c r="AI41" s="10"/>
      <c r="AJ41" s="11"/>
      <c r="AK41" s="161"/>
      <c r="AL41" s="10"/>
      <c r="AM41" s="11"/>
      <c r="AN41" s="159"/>
      <c r="AO41" s="11"/>
      <c r="AP41" s="160"/>
      <c r="AQ41" s="10"/>
      <c r="AR41" s="11"/>
      <c r="AS41" s="116"/>
      <c r="AU41" s="116"/>
      <c r="AV41" s="161"/>
      <c r="AW41" s="10"/>
      <c r="AX41" s="10"/>
      <c r="AY41" s="11"/>
      <c r="AZ41" s="161"/>
      <c r="BA41" s="10"/>
      <c r="BB41" s="11"/>
      <c r="BC41" s="159"/>
      <c r="BD41" s="11"/>
      <c r="BE41" s="160"/>
      <c r="BF41" s="10"/>
      <c r="BG41" s="11"/>
      <c r="BH41" s="116"/>
    </row>
    <row r="42">
      <c r="B42" s="116"/>
      <c r="C42" s="161"/>
      <c r="D42" s="10"/>
      <c r="E42" s="10"/>
      <c r="F42" s="11"/>
      <c r="G42" s="161"/>
      <c r="H42" s="10"/>
      <c r="I42" s="11"/>
      <c r="J42" s="159"/>
      <c r="K42" s="11"/>
      <c r="L42" s="160"/>
      <c r="M42" s="10"/>
      <c r="N42" s="11"/>
      <c r="O42" s="116"/>
      <c r="Q42" s="116"/>
      <c r="R42" s="161"/>
      <c r="S42" s="10"/>
      <c r="T42" s="10"/>
      <c r="U42" s="11"/>
      <c r="V42" s="161"/>
      <c r="W42" s="10"/>
      <c r="X42" s="11"/>
      <c r="Y42" s="159"/>
      <c r="Z42" s="11"/>
      <c r="AA42" s="160"/>
      <c r="AB42" s="10"/>
      <c r="AC42" s="11"/>
      <c r="AD42" s="116"/>
      <c r="AF42" s="116"/>
      <c r="AG42" s="161"/>
      <c r="AH42" s="10"/>
      <c r="AI42" s="10"/>
      <c r="AJ42" s="11"/>
      <c r="AK42" s="161"/>
      <c r="AL42" s="10"/>
      <c r="AM42" s="11"/>
      <c r="AN42" s="159"/>
      <c r="AO42" s="11"/>
      <c r="AP42" s="160"/>
      <c r="AQ42" s="10"/>
      <c r="AR42" s="11"/>
      <c r="AS42" s="116"/>
      <c r="AU42" s="116"/>
      <c r="AV42" s="161"/>
      <c r="AW42" s="10"/>
      <c r="AX42" s="10"/>
      <c r="AY42" s="11"/>
      <c r="AZ42" s="161"/>
      <c r="BA42" s="10"/>
      <c r="BB42" s="11"/>
      <c r="BC42" s="159"/>
      <c r="BD42" s="11"/>
      <c r="BE42" s="160"/>
      <c r="BF42" s="10"/>
      <c r="BG42" s="11"/>
      <c r="BH42" s="116"/>
    </row>
    <row r="43">
      <c r="B43" s="81"/>
      <c r="C43" s="161"/>
      <c r="D43" s="10"/>
      <c r="E43" s="10"/>
      <c r="F43" s="11"/>
      <c r="G43" s="161"/>
      <c r="H43" s="10"/>
      <c r="I43" s="11"/>
      <c r="J43" s="159"/>
      <c r="K43" s="11"/>
      <c r="L43" s="160"/>
      <c r="M43" s="10"/>
      <c r="N43" s="11"/>
      <c r="O43" s="81"/>
      <c r="Q43" s="81"/>
      <c r="R43" s="161"/>
      <c r="S43" s="10"/>
      <c r="T43" s="10"/>
      <c r="U43" s="11"/>
      <c r="V43" s="161"/>
      <c r="W43" s="10"/>
      <c r="X43" s="11"/>
      <c r="Y43" s="159"/>
      <c r="Z43" s="11"/>
      <c r="AA43" s="160"/>
      <c r="AB43" s="10"/>
      <c r="AC43" s="11"/>
      <c r="AD43" s="81"/>
      <c r="AF43" s="81"/>
      <c r="AG43" s="161"/>
      <c r="AH43" s="10"/>
      <c r="AI43" s="10"/>
      <c r="AJ43" s="11"/>
      <c r="AK43" s="161"/>
      <c r="AL43" s="10"/>
      <c r="AM43" s="11"/>
      <c r="AN43" s="159"/>
      <c r="AO43" s="11"/>
      <c r="AP43" s="160"/>
      <c r="AQ43" s="10"/>
      <c r="AR43" s="11"/>
      <c r="AS43" s="81"/>
      <c r="AU43" s="81"/>
      <c r="AV43" s="161"/>
      <c r="AW43" s="10"/>
      <c r="AX43" s="10"/>
      <c r="AY43" s="11"/>
      <c r="AZ43" s="161"/>
      <c r="BA43" s="10"/>
      <c r="BB43" s="11"/>
      <c r="BC43" s="159"/>
      <c r="BD43" s="11"/>
      <c r="BE43" s="160"/>
      <c r="BF43" s="10"/>
      <c r="BG43" s="11"/>
      <c r="BH43" s="81"/>
    </row>
    <row r="44">
      <c r="B44" s="24"/>
    </row>
    <row r="45">
      <c r="B45" s="141" t="s">
        <v>205</v>
      </c>
      <c r="C45" s="4"/>
      <c r="D45" s="4"/>
      <c r="E45" s="4"/>
      <c r="F45" s="4"/>
      <c r="G45" s="4"/>
      <c r="H45" s="4"/>
      <c r="I45" s="4"/>
      <c r="J45" s="4"/>
      <c r="K45" s="4"/>
      <c r="L45" s="4"/>
      <c r="M45" s="4"/>
      <c r="N45" s="4"/>
      <c r="O45" s="5"/>
      <c r="P45" s="140"/>
      <c r="Q45" s="141" t="s">
        <v>206</v>
      </c>
      <c r="R45" s="4"/>
      <c r="S45" s="4"/>
      <c r="T45" s="4"/>
      <c r="U45" s="4"/>
      <c r="V45" s="4"/>
      <c r="W45" s="4"/>
      <c r="X45" s="4"/>
      <c r="Y45" s="4"/>
      <c r="Z45" s="4"/>
      <c r="AA45" s="4"/>
      <c r="AB45" s="4"/>
      <c r="AC45" s="4"/>
      <c r="AD45" s="5"/>
      <c r="AE45" s="140"/>
      <c r="AF45" s="141" t="s">
        <v>207</v>
      </c>
      <c r="AG45" s="4"/>
      <c r="AH45" s="4"/>
      <c r="AI45" s="4"/>
      <c r="AJ45" s="4"/>
      <c r="AK45" s="4"/>
      <c r="AL45" s="4"/>
      <c r="AM45" s="4"/>
      <c r="AN45" s="4"/>
      <c r="AO45" s="4"/>
      <c r="AP45" s="4"/>
      <c r="AQ45" s="4"/>
      <c r="AR45" s="4"/>
      <c r="AS45" s="5"/>
      <c r="AT45" s="140"/>
      <c r="AU45" s="141" t="s">
        <v>208</v>
      </c>
      <c r="AV45" s="4"/>
      <c r="AW45" s="4"/>
      <c r="AX45" s="4"/>
      <c r="AY45" s="4"/>
      <c r="AZ45" s="4"/>
      <c r="BA45" s="4"/>
      <c r="BB45" s="4"/>
      <c r="BC45" s="4"/>
      <c r="BD45" s="4"/>
      <c r="BE45" s="4"/>
      <c r="BF45" s="4"/>
      <c r="BG45" s="4"/>
      <c r="BH45" s="5"/>
    </row>
    <row r="46">
      <c r="B46" s="16"/>
      <c r="C46" s="17"/>
      <c r="D46" s="17"/>
      <c r="E46" s="17"/>
      <c r="F46" s="17"/>
      <c r="G46" s="17"/>
      <c r="H46" s="17"/>
      <c r="I46" s="17"/>
      <c r="J46" s="17"/>
      <c r="K46" s="17"/>
      <c r="L46" s="17"/>
      <c r="M46" s="17"/>
      <c r="N46" s="17"/>
      <c r="O46" s="18"/>
      <c r="Q46" s="16"/>
      <c r="R46" s="17"/>
      <c r="S46" s="17"/>
      <c r="T46" s="17"/>
      <c r="U46" s="17"/>
      <c r="V46" s="17"/>
      <c r="W46" s="17"/>
      <c r="X46" s="17"/>
      <c r="Y46" s="17"/>
      <c r="Z46" s="17"/>
      <c r="AA46" s="17"/>
      <c r="AB46" s="17"/>
      <c r="AC46" s="17"/>
      <c r="AD46" s="18"/>
      <c r="AF46" s="16"/>
      <c r="AG46" s="17"/>
      <c r="AH46" s="17"/>
      <c r="AI46" s="17"/>
      <c r="AJ46" s="17"/>
      <c r="AK46" s="17"/>
      <c r="AL46" s="17"/>
      <c r="AM46" s="17"/>
      <c r="AN46" s="17"/>
      <c r="AO46" s="17"/>
      <c r="AP46" s="17"/>
      <c r="AQ46" s="17"/>
      <c r="AR46" s="17"/>
      <c r="AS46" s="18"/>
      <c r="AU46" s="16"/>
      <c r="AV46" s="17"/>
      <c r="AW46" s="17"/>
      <c r="AX46" s="17"/>
      <c r="AY46" s="17"/>
      <c r="AZ46" s="17"/>
      <c r="BA46" s="17"/>
      <c r="BB46" s="17"/>
      <c r="BC46" s="17"/>
      <c r="BD46" s="17"/>
      <c r="BE46" s="17"/>
      <c r="BF46" s="17"/>
      <c r="BG46" s="17"/>
      <c r="BH46" s="18"/>
    </row>
    <row r="47">
      <c r="B47" s="115"/>
      <c r="C47" s="48" t="s">
        <v>194</v>
      </c>
      <c r="D47" s="10"/>
      <c r="E47" s="10"/>
      <c r="F47" s="10"/>
      <c r="G47" s="10"/>
      <c r="H47" s="10"/>
      <c r="I47" s="10"/>
      <c r="J47" s="10"/>
      <c r="K47" s="10"/>
      <c r="L47" s="10"/>
      <c r="M47" s="10"/>
      <c r="N47" s="11"/>
      <c r="O47" s="115"/>
      <c r="Q47" s="115"/>
      <c r="R47" s="48" t="s">
        <v>194</v>
      </c>
      <c r="S47" s="10"/>
      <c r="T47" s="10"/>
      <c r="U47" s="10"/>
      <c r="V47" s="10"/>
      <c r="W47" s="10"/>
      <c r="X47" s="10"/>
      <c r="Y47" s="10"/>
      <c r="Z47" s="10"/>
      <c r="AA47" s="10"/>
      <c r="AB47" s="10"/>
      <c r="AC47" s="11"/>
      <c r="AD47" s="115"/>
      <c r="AF47" s="115"/>
      <c r="AG47" s="48" t="s">
        <v>194</v>
      </c>
      <c r="AH47" s="10"/>
      <c r="AI47" s="10"/>
      <c r="AJ47" s="10"/>
      <c r="AK47" s="10"/>
      <c r="AL47" s="10"/>
      <c r="AM47" s="10"/>
      <c r="AN47" s="10"/>
      <c r="AO47" s="10"/>
      <c r="AP47" s="10"/>
      <c r="AQ47" s="10"/>
      <c r="AR47" s="11"/>
      <c r="AS47" s="115"/>
      <c r="AU47" s="115"/>
      <c r="AV47" s="48" t="s">
        <v>194</v>
      </c>
      <c r="AW47" s="10"/>
      <c r="AX47" s="10"/>
      <c r="AY47" s="10"/>
      <c r="AZ47" s="10"/>
      <c r="BA47" s="10"/>
      <c r="BB47" s="10"/>
      <c r="BC47" s="10"/>
      <c r="BD47" s="10"/>
      <c r="BE47" s="10"/>
      <c r="BF47" s="10"/>
      <c r="BG47" s="11"/>
      <c r="BH47" s="115"/>
    </row>
    <row r="48">
      <c r="B48" s="116"/>
      <c r="C48" s="126"/>
      <c r="D48" s="10"/>
      <c r="E48" s="10"/>
      <c r="F48" s="10"/>
      <c r="G48" s="10"/>
      <c r="H48" s="10"/>
      <c r="I48" s="10"/>
      <c r="J48" s="10"/>
      <c r="K48" s="10"/>
      <c r="L48" s="10"/>
      <c r="M48" s="10"/>
      <c r="N48" s="11"/>
      <c r="O48" s="116"/>
      <c r="Q48" s="116"/>
      <c r="R48" s="126"/>
      <c r="S48" s="10"/>
      <c r="T48" s="10"/>
      <c r="U48" s="10"/>
      <c r="V48" s="10"/>
      <c r="W48" s="10"/>
      <c r="X48" s="10"/>
      <c r="Y48" s="10"/>
      <c r="Z48" s="10"/>
      <c r="AA48" s="10"/>
      <c r="AB48" s="10"/>
      <c r="AC48" s="11"/>
      <c r="AD48" s="116"/>
      <c r="AF48" s="116"/>
      <c r="AG48" s="126"/>
      <c r="AH48" s="10"/>
      <c r="AI48" s="10"/>
      <c r="AJ48" s="10"/>
      <c r="AK48" s="10"/>
      <c r="AL48" s="10"/>
      <c r="AM48" s="10"/>
      <c r="AN48" s="10"/>
      <c r="AO48" s="10"/>
      <c r="AP48" s="10"/>
      <c r="AQ48" s="10"/>
      <c r="AR48" s="11"/>
      <c r="AS48" s="116"/>
      <c r="AU48" s="116"/>
      <c r="AV48" s="126"/>
      <c r="AW48" s="10"/>
      <c r="AX48" s="10"/>
      <c r="AY48" s="10"/>
      <c r="AZ48" s="10"/>
      <c r="BA48" s="10"/>
      <c r="BB48" s="10"/>
      <c r="BC48" s="10"/>
      <c r="BD48" s="10"/>
      <c r="BE48" s="10"/>
      <c r="BF48" s="10"/>
      <c r="BG48" s="11"/>
      <c r="BH48" s="116"/>
    </row>
    <row r="49">
      <c r="B49" s="116"/>
      <c r="C49" s="142"/>
      <c r="D49" s="10"/>
      <c r="E49" s="10"/>
      <c r="F49" s="10"/>
      <c r="G49" s="10"/>
      <c r="H49" s="10"/>
      <c r="I49" s="10"/>
      <c r="J49" s="10"/>
      <c r="K49" s="10"/>
      <c r="L49" s="10"/>
      <c r="M49" s="10"/>
      <c r="N49" s="11"/>
      <c r="O49" s="116"/>
      <c r="Q49" s="116"/>
      <c r="R49" s="142"/>
      <c r="S49" s="10"/>
      <c r="T49" s="10"/>
      <c r="U49" s="10"/>
      <c r="V49" s="10"/>
      <c r="W49" s="10"/>
      <c r="X49" s="10"/>
      <c r="Y49" s="10"/>
      <c r="Z49" s="10"/>
      <c r="AA49" s="10"/>
      <c r="AB49" s="10"/>
      <c r="AC49" s="11"/>
      <c r="AD49" s="116"/>
      <c r="AF49" s="116"/>
      <c r="AG49" s="142"/>
      <c r="AH49" s="10"/>
      <c r="AI49" s="10"/>
      <c r="AJ49" s="10"/>
      <c r="AK49" s="10"/>
      <c r="AL49" s="10"/>
      <c r="AM49" s="10"/>
      <c r="AN49" s="10"/>
      <c r="AO49" s="10"/>
      <c r="AP49" s="10"/>
      <c r="AQ49" s="10"/>
      <c r="AR49" s="11"/>
      <c r="AS49" s="116"/>
      <c r="AU49" s="116"/>
      <c r="AV49" s="142"/>
      <c r="AW49" s="10"/>
      <c r="AX49" s="10"/>
      <c r="AY49" s="10"/>
      <c r="AZ49" s="10"/>
      <c r="BA49" s="10"/>
      <c r="BB49" s="10"/>
      <c r="BC49" s="10"/>
      <c r="BD49" s="10"/>
      <c r="BE49" s="10"/>
      <c r="BF49" s="10"/>
      <c r="BG49" s="11"/>
      <c r="BH49" s="116"/>
    </row>
    <row r="50">
      <c r="B50" s="116"/>
      <c r="C50" s="143"/>
      <c r="D50" s="4"/>
      <c r="E50" s="5"/>
      <c r="F50" s="144"/>
      <c r="G50" s="4"/>
      <c r="H50" s="5"/>
      <c r="I50" s="145"/>
      <c r="J50" s="4"/>
      <c r="K50" s="5"/>
      <c r="L50" s="146"/>
      <c r="M50" s="4"/>
      <c r="N50" s="5"/>
      <c r="O50" s="116"/>
      <c r="Q50" s="116"/>
      <c r="R50" s="143"/>
      <c r="S50" s="4"/>
      <c r="T50" s="5"/>
      <c r="U50" s="144"/>
      <c r="V50" s="4"/>
      <c r="W50" s="5"/>
      <c r="X50" s="145"/>
      <c r="Y50" s="4"/>
      <c r="Z50" s="5"/>
      <c r="AA50" s="146"/>
      <c r="AB50" s="4"/>
      <c r="AC50" s="5"/>
      <c r="AD50" s="116"/>
      <c r="AF50" s="116"/>
      <c r="AG50" s="143"/>
      <c r="AH50" s="4"/>
      <c r="AI50" s="5"/>
      <c r="AJ50" s="144"/>
      <c r="AK50" s="4"/>
      <c r="AL50" s="5"/>
      <c r="AM50" s="145"/>
      <c r="AN50" s="4"/>
      <c r="AO50" s="5"/>
      <c r="AP50" s="146"/>
      <c r="AQ50" s="4"/>
      <c r="AR50" s="5"/>
      <c r="AS50" s="116"/>
      <c r="AU50" s="116"/>
      <c r="AV50" s="143"/>
      <c r="AW50" s="4"/>
      <c r="AX50" s="5"/>
      <c r="AY50" s="144"/>
      <c r="AZ50" s="4"/>
      <c r="BA50" s="5"/>
      <c r="BB50" s="145"/>
      <c r="BC50" s="4"/>
      <c r="BD50" s="5"/>
      <c r="BE50" s="146"/>
      <c r="BF50" s="4"/>
      <c r="BG50" s="5"/>
      <c r="BH50" s="116"/>
    </row>
    <row r="51">
      <c r="B51" s="116"/>
      <c r="E51" s="37"/>
      <c r="F51" s="36"/>
      <c r="H51" s="37"/>
      <c r="I51" s="36"/>
      <c r="K51" s="37"/>
      <c r="L51" s="36"/>
      <c r="N51" s="37"/>
      <c r="O51" s="116"/>
      <c r="Q51" s="116"/>
      <c r="T51" s="37"/>
      <c r="U51" s="36"/>
      <c r="W51" s="37"/>
      <c r="X51" s="36"/>
      <c r="Z51" s="37"/>
      <c r="AA51" s="36"/>
      <c r="AC51" s="37"/>
      <c r="AD51" s="116"/>
      <c r="AF51" s="116"/>
      <c r="AI51" s="37"/>
      <c r="AJ51" s="36"/>
      <c r="AL51" s="37"/>
      <c r="AM51" s="36"/>
      <c r="AO51" s="37"/>
      <c r="AP51" s="36"/>
      <c r="AR51" s="37"/>
      <c r="AS51" s="116"/>
      <c r="AU51" s="116"/>
      <c r="AX51" s="37"/>
      <c r="AY51" s="36"/>
      <c r="BA51" s="37"/>
      <c r="BB51" s="36"/>
      <c r="BD51" s="37"/>
      <c r="BE51" s="36"/>
      <c r="BG51" s="37"/>
      <c r="BH51" s="116"/>
    </row>
    <row r="52">
      <c r="B52" s="116"/>
      <c r="E52" s="37"/>
      <c r="F52" s="36"/>
      <c r="H52" s="37"/>
      <c r="I52" s="36"/>
      <c r="K52" s="37"/>
      <c r="L52" s="36"/>
      <c r="N52" s="37"/>
      <c r="O52" s="116"/>
      <c r="Q52" s="116"/>
      <c r="T52" s="37"/>
      <c r="U52" s="36"/>
      <c r="W52" s="37"/>
      <c r="X52" s="36"/>
      <c r="Z52" s="37"/>
      <c r="AA52" s="36"/>
      <c r="AC52" s="37"/>
      <c r="AD52" s="116"/>
      <c r="AF52" s="116"/>
      <c r="AI52" s="37"/>
      <c r="AJ52" s="36"/>
      <c r="AL52" s="37"/>
      <c r="AM52" s="36"/>
      <c r="AO52" s="37"/>
      <c r="AP52" s="36"/>
      <c r="AR52" s="37"/>
      <c r="AS52" s="116"/>
      <c r="AU52" s="116"/>
      <c r="AX52" s="37"/>
      <c r="AY52" s="36"/>
      <c r="BA52" s="37"/>
      <c r="BB52" s="36"/>
      <c r="BD52" s="37"/>
      <c r="BE52" s="36"/>
      <c r="BG52" s="37"/>
      <c r="BH52" s="116"/>
    </row>
    <row r="53">
      <c r="B53" s="116"/>
      <c r="C53" s="17"/>
      <c r="D53" s="17"/>
      <c r="E53" s="18"/>
      <c r="F53" s="16"/>
      <c r="G53" s="17"/>
      <c r="H53" s="18"/>
      <c r="I53" s="16"/>
      <c r="J53" s="17"/>
      <c r="K53" s="18"/>
      <c r="L53" s="16"/>
      <c r="M53" s="17"/>
      <c r="N53" s="18"/>
      <c r="O53" s="116"/>
      <c r="Q53" s="116"/>
      <c r="R53" s="17"/>
      <c r="S53" s="17"/>
      <c r="T53" s="18"/>
      <c r="U53" s="16"/>
      <c r="V53" s="17"/>
      <c r="W53" s="18"/>
      <c r="X53" s="16"/>
      <c r="Y53" s="17"/>
      <c r="Z53" s="18"/>
      <c r="AA53" s="16"/>
      <c r="AB53" s="17"/>
      <c r="AC53" s="18"/>
      <c r="AD53" s="116"/>
      <c r="AF53" s="116"/>
      <c r="AG53" s="17"/>
      <c r="AH53" s="17"/>
      <c r="AI53" s="18"/>
      <c r="AJ53" s="16"/>
      <c r="AK53" s="17"/>
      <c r="AL53" s="18"/>
      <c r="AM53" s="16"/>
      <c r="AN53" s="17"/>
      <c r="AO53" s="18"/>
      <c r="AP53" s="16"/>
      <c r="AQ53" s="17"/>
      <c r="AR53" s="18"/>
      <c r="AS53" s="116"/>
      <c r="AU53" s="116"/>
      <c r="AV53" s="17"/>
      <c r="AW53" s="17"/>
      <c r="AX53" s="18"/>
      <c r="AY53" s="16"/>
      <c r="AZ53" s="17"/>
      <c r="BA53" s="18"/>
      <c r="BB53" s="16"/>
      <c r="BC53" s="17"/>
      <c r="BD53" s="18"/>
      <c r="BE53" s="16"/>
      <c r="BF53" s="17"/>
      <c r="BG53" s="18"/>
      <c r="BH53" s="116"/>
    </row>
    <row r="54">
      <c r="B54" s="116"/>
      <c r="C54" s="147" t="s">
        <v>20</v>
      </c>
      <c r="D54" s="10"/>
      <c r="E54" s="11"/>
      <c r="F54" s="21" t="s">
        <v>22</v>
      </c>
      <c r="G54" s="10"/>
      <c r="H54" s="11"/>
      <c r="I54" s="148" t="s">
        <v>18</v>
      </c>
      <c r="J54" s="4"/>
      <c r="K54" s="5"/>
      <c r="L54" s="149" t="s">
        <v>195</v>
      </c>
      <c r="M54" s="4"/>
      <c r="N54" s="5"/>
      <c r="O54" s="116"/>
      <c r="Q54" s="116"/>
      <c r="R54" s="147" t="s">
        <v>20</v>
      </c>
      <c r="S54" s="10"/>
      <c r="T54" s="11"/>
      <c r="U54" s="21" t="s">
        <v>22</v>
      </c>
      <c r="V54" s="10"/>
      <c r="W54" s="11"/>
      <c r="X54" s="148" t="s">
        <v>18</v>
      </c>
      <c r="Y54" s="4"/>
      <c r="Z54" s="5"/>
      <c r="AA54" s="149" t="s">
        <v>195</v>
      </c>
      <c r="AB54" s="4"/>
      <c r="AC54" s="5"/>
      <c r="AD54" s="116"/>
      <c r="AF54" s="116"/>
      <c r="AG54" s="147" t="s">
        <v>20</v>
      </c>
      <c r="AH54" s="10"/>
      <c r="AI54" s="11"/>
      <c r="AJ54" s="21" t="s">
        <v>22</v>
      </c>
      <c r="AK54" s="10"/>
      <c r="AL54" s="11"/>
      <c r="AM54" s="148" t="s">
        <v>18</v>
      </c>
      <c r="AN54" s="4"/>
      <c r="AO54" s="5"/>
      <c r="AP54" s="149" t="s">
        <v>195</v>
      </c>
      <c r="AQ54" s="4"/>
      <c r="AR54" s="5"/>
      <c r="AS54" s="116"/>
      <c r="AU54" s="116"/>
      <c r="AV54" s="147" t="s">
        <v>20</v>
      </c>
      <c r="AW54" s="10"/>
      <c r="AX54" s="11"/>
      <c r="AY54" s="21" t="s">
        <v>22</v>
      </c>
      <c r="AZ54" s="10"/>
      <c r="BA54" s="11"/>
      <c r="BB54" s="148" t="s">
        <v>18</v>
      </c>
      <c r="BC54" s="4"/>
      <c r="BD54" s="5"/>
      <c r="BE54" s="149" t="s">
        <v>195</v>
      </c>
      <c r="BF54" s="4"/>
      <c r="BG54" s="5"/>
      <c r="BH54" s="116"/>
    </row>
    <row r="55">
      <c r="B55" s="81"/>
      <c r="C55" s="150" t="s">
        <v>14</v>
      </c>
      <c r="I55" s="16"/>
      <c r="J55" s="17"/>
      <c r="K55" s="18"/>
      <c r="L55" s="16"/>
      <c r="M55" s="17"/>
      <c r="N55" s="18"/>
      <c r="O55" s="81"/>
      <c r="Q55" s="81"/>
      <c r="R55" s="150" t="s">
        <v>14</v>
      </c>
      <c r="X55" s="16"/>
      <c r="Y55" s="17"/>
      <c r="Z55" s="18"/>
      <c r="AA55" s="16"/>
      <c r="AB55" s="17"/>
      <c r="AC55" s="18"/>
      <c r="AD55" s="81"/>
      <c r="AF55" s="81"/>
      <c r="AG55" s="150" t="s">
        <v>14</v>
      </c>
      <c r="AM55" s="16"/>
      <c r="AN55" s="17"/>
      <c r="AO55" s="18"/>
      <c r="AP55" s="16"/>
      <c r="AQ55" s="17"/>
      <c r="AR55" s="18"/>
      <c r="AS55" s="81"/>
      <c r="AU55" s="81"/>
      <c r="AV55" s="150" t="s">
        <v>14</v>
      </c>
      <c r="BB55" s="16"/>
      <c r="BC55" s="17"/>
      <c r="BD55" s="18"/>
      <c r="BE55" s="16"/>
      <c r="BF55" s="17"/>
      <c r="BG55" s="18"/>
      <c r="BH55" s="81"/>
    </row>
    <row r="56">
      <c r="B56" s="115"/>
      <c r="C56" s="151" t="s">
        <v>13</v>
      </c>
      <c r="D56" s="10"/>
      <c r="E56" s="10"/>
      <c r="F56" s="10"/>
      <c r="G56" s="10"/>
      <c r="H56" s="10"/>
      <c r="I56" s="10"/>
      <c r="J56" s="10"/>
      <c r="K56" s="10"/>
      <c r="L56" s="10"/>
      <c r="M56" s="10"/>
      <c r="N56" s="11"/>
      <c r="O56" s="115"/>
      <c r="Q56" s="115"/>
      <c r="R56" s="151" t="s">
        <v>13</v>
      </c>
      <c r="S56" s="10"/>
      <c r="T56" s="10"/>
      <c r="U56" s="10"/>
      <c r="V56" s="10"/>
      <c r="W56" s="10"/>
      <c r="X56" s="10"/>
      <c r="Y56" s="10"/>
      <c r="Z56" s="10"/>
      <c r="AA56" s="10"/>
      <c r="AB56" s="10"/>
      <c r="AC56" s="11"/>
      <c r="AD56" s="115"/>
      <c r="AF56" s="115"/>
      <c r="AG56" s="151" t="s">
        <v>13</v>
      </c>
      <c r="AH56" s="10"/>
      <c r="AI56" s="10"/>
      <c r="AJ56" s="10"/>
      <c r="AK56" s="10"/>
      <c r="AL56" s="10"/>
      <c r="AM56" s="10"/>
      <c r="AN56" s="10"/>
      <c r="AO56" s="10"/>
      <c r="AP56" s="10"/>
      <c r="AQ56" s="10"/>
      <c r="AR56" s="11"/>
      <c r="AS56" s="115"/>
      <c r="AU56" s="115"/>
      <c r="AV56" s="151" t="s">
        <v>13</v>
      </c>
      <c r="AW56" s="10"/>
      <c r="AX56" s="10"/>
      <c r="AY56" s="10"/>
      <c r="AZ56" s="10"/>
      <c r="BA56" s="10"/>
      <c r="BB56" s="10"/>
      <c r="BC56" s="10"/>
      <c r="BD56" s="10"/>
      <c r="BE56" s="10"/>
      <c r="BF56" s="10"/>
      <c r="BG56" s="11"/>
      <c r="BH56" s="115"/>
    </row>
    <row r="57">
      <c r="B57" s="116"/>
      <c r="C57" s="48" t="s">
        <v>62</v>
      </c>
      <c r="D57" s="10"/>
      <c r="E57" s="10"/>
      <c r="F57" s="11"/>
      <c r="G57" s="48" t="s">
        <v>38</v>
      </c>
      <c r="H57" s="10"/>
      <c r="I57" s="10"/>
      <c r="J57" s="11"/>
      <c r="K57" s="152" t="s">
        <v>196</v>
      </c>
      <c r="L57" s="4"/>
      <c r="M57" s="4"/>
      <c r="N57" s="5"/>
      <c r="O57" s="116"/>
      <c r="Q57" s="116"/>
      <c r="R57" s="48" t="s">
        <v>62</v>
      </c>
      <c r="S57" s="10"/>
      <c r="T57" s="10"/>
      <c r="U57" s="11"/>
      <c r="V57" s="48" t="s">
        <v>38</v>
      </c>
      <c r="W57" s="10"/>
      <c r="X57" s="10"/>
      <c r="Y57" s="11"/>
      <c r="Z57" s="152" t="s">
        <v>196</v>
      </c>
      <c r="AA57" s="4"/>
      <c r="AB57" s="4"/>
      <c r="AC57" s="5"/>
      <c r="AD57" s="116"/>
      <c r="AF57" s="116"/>
      <c r="AG57" s="48" t="s">
        <v>62</v>
      </c>
      <c r="AH57" s="10"/>
      <c r="AI57" s="10"/>
      <c r="AJ57" s="11"/>
      <c r="AK57" s="48" t="s">
        <v>38</v>
      </c>
      <c r="AL57" s="10"/>
      <c r="AM57" s="10"/>
      <c r="AN57" s="11"/>
      <c r="AO57" s="152" t="s">
        <v>196</v>
      </c>
      <c r="AP57" s="4"/>
      <c r="AQ57" s="4"/>
      <c r="AR57" s="5"/>
      <c r="AS57" s="116"/>
      <c r="AU57" s="116"/>
      <c r="AV57" s="48" t="s">
        <v>62</v>
      </c>
      <c r="AW57" s="10"/>
      <c r="AX57" s="10"/>
      <c r="AY57" s="11"/>
      <c r="AZ57" s="48" t="s">
        <v>38</v>
      </c>
      <c r="BA57" s="10"/>
      <c r="BB57" s="10"/>
      <c r="BC57" s="11"/>
      <c r="BD57" s="152" t="s">
        <v>196</v>
      </c>
      <c r="BE57" s="4"/>
      <c r="BF57" s="4"/>
      <c r="BG57" s="5"/>
      <c r="BH57" s="116"/>
    </row>
    <row r="58">
      <c r="B58" s="116"/>
      <c r="C58" s="153" t="s">
        <v>197</v>
      </c>
      <c r="D58" s="10"/>
      <c r="E58" s="10"/>
      <c r="F58" s="11"/>
      <c r="G58" s="12"/>
      <c r="H58" s="10"/>
      <c r="I58" s="10"/>
      <c r="J58" s="11"/>
      <c r="K58" s="154">
        <f t="shared" ref="K58:K63" si="5">IF(G58&gt;=10,ROUNDDOWN((G58-10)/2,0),ROUNDUP((G58-10)/2,0))</f>
        <v>-5</v>
      </c>
      <c r="L58" s="10"/>
      <c r="M58" s="10"/>
      <c r="N58" s="11"/>
      <c r="O58" s="116"/>
      <c r="Q58" s="116"/>
      <c r="R58" s="153" t="s">
        <v>197</v>
      </c>
      <c r="S58" s="10"/>
      <c r="T58" s="10"/>
      <c r="U58" s="11"/>
      <c r="V58" s="12"/>
      <c r="W58" s="10"/>
      <c r="X58" s="10"/>
      <c r="Y58" s="11"/>
      <c r="Z58" s="154">
        <f t="shared" ref="Z58:Z63" si="6">IF(V58&gt;=10,ROUNDDOWN((V58-10)/2,0),ROUNDUP((V58-10)/2,0))</f>
        <v>-5</v>
      </c>
      <c r="AA58" s="10"/>
      <c r="AB58" s="10"/>
      <c r="AC58" s="11"/>
      <c r="AD58" s="116"/>
      <c r="AF58" s="116"/>
      <c r="AG58" s="153" t="s">
        <v>197</v>
      </c>
      <c r="AH58" s="10"/>
      <c r="AI58" s="10"/>
      <c r="AJ58" s="11"/>
      <c r="AK58" s="12"/>
      <c r="AL58" s="10"/>
      <c r="AM58" s="10"/>
      <c r="AN58" s="11"/>
      <c r="AO58" s="154">
        <f t="shared" ref="AO58:AO63" si="7">IF(AK58&gt;=10,ROUNDDOWN((AK58-10)/2,0),ROUNDUP((AK58-10)/2,0))</f>
        <v>-5</v>
      </c>
      <c r="AP58" s="10"/>
      <c r="AQ58" s="10"/>
      <c r="AR58" s="11"/>
      <c r="AS58" s="116"/>
      <c r="AU58" s="116"/>
      <c r="AV58" s="153" t="s">
        <v>197</v>
      </c>
      <c r="AW58" s="10"/>
      <c r="AX58" s="10"/>
      <c r="AY58" s="11"/>
      <c r="AZ58" s="12"/>
      <c r="BA58" s="10"/>
      <c r="BB58" s="10"/>
      <c r="BC58" s="11"/>
      <c r="BD58" s="154">
        <f t="shared" ref="BD58:BD63" si="8">IF(AZ58&gt;=10,ROUNDDOWN((AZ58-10)/2,0),ROUNDUP((AZ58-10)/2,0))</f>
        <v>-5</v>
      </c>
      <c r="BE58" s="10"/>
      <c r="BF58" s="10"/>
      <c r="BG58" s="11"/>
      <c r="BH58" s="116"/>
    </row>
    <row r="59">
      <c r="B59" s="116"/>
      <c r="C59" s="153" t="s">
        <v>41</v>
      </c>
      <c r="D59" s="10"/>
      <c r="E59" s="10"/>
      <c r="F59" s="11"/>
      <c r="G59" s="12"/>
      <c r="H59" s="10"/>
      <c r="I59" s="10"/>
      <c r="J59" s="11"/>
      <c r="K59" s="154">
        <f t="shared" si="5"/>
        <v>-5</v>
      </c>
      <c r="L59" s="10"/>
      <c r="M59" s="10"/>
      <c r="N59" s="11"/>
      <c r="O59" s="116"/>
      <c r="Q59" s="116"/>
      <c r="R59" s="153" t="s">
        <v>41</v>
      </c>
      <c r="S59" s="10"/>
      <c r="T59" s="10"/>
      <c r="U59" s="11"/>
      <c r="V59" s="12"/>
      <c r="W59" s="10"/>
      <c r="X59" s="10"/>
      <c r="Y59" s="11"/>
      <c r="Z59" s="154">
        <f t="shared" si="6"/>
        <v>-5</v>
      </c>
      <c r="AA59" s="10"/>
      <c r="AB59" s="10"/>
      <c r="AC59" s="11"/>
      <c r="AD59" s="116"/>
      <c r="AF59" s="116"/>
      <c r="AG59" s="153" t="s">
        <v>41</v>
      </c>
      <c r="AH59" s="10"/>
      <c r="AI59" s="10"/>
      <c r="AJ59" s="11"/>
      <c r="AK59" s="12"/>
      <c r="AL59" s="10"/>
      <c r="AM59" s="10"/>
      <c r="AN59" s="11"/>
      <c r="AO59" s="154">
        <f t="shared" si="7"/>
        <v>-5</v>
      </c>
      <c r="AP59" s="10"/>
      <c r="AQ59" s="10"/>
      <c r="AR59" s="11"/>
      <c r="AS59" s="116"/>
      <c r="AU59" s="116"/>
      <c r="AV59" s="153" t="s">
        <v>41</v>
      </c>
      <c r="AW59" s="10"/>
      <c r="AX59" s="10"/>
      <c r="AY59" s="11"/>
      <c r="AZ59" s="12"/>
      <c r="BA59" s="10"/>
      <c r="BB59" s="10"/>
      <c r="BC59" s="11"/>
      <c r="BD59" s="154">
        <f t="shared" si="8"/>
        <v>-5</v>
      </c>
      <c r="BE59" s="10"/>
      <c r="BF59" s="10"/>
      <c r="BG59" s="11"/>
      <c r="BH59" s="116"/>
    </row>
    <row r="60">
      <c r="B60" s="116"/>
      <c r="C60" s="153" t="s">
        <v>198</v>
      </c>
      <c r="D60" s="10"/>
      <c r="E60" s="10"/>
      <c r="F60" s="11"/>
      <c r="G60" s="108"/>
      <c r="H60" s="10"/>
      <c r="I60" s="10"/>
      <c r="J60" s="11"/>
      <c r="K60" s="154">
        <f t="shared" si="5"/>
        <v>-5</v>
      </c>
      <c r="L60" s="10"/>
      <c r="M60" s="10"/>
      <c r="N60" s="11"/>
      <c r="O60" s="116"/>
      <c r="Q60" s="116"/>
      <c r="R60" s="153" t="s">
        <v>198</v>
      </c>
      <c r="S60" s="10"/>
      <c r="T60" s="10"/>
      <c r="U60" s="11"/>
      <c r="V60" s="108"/>
      <c r="W60" s="10"/>
      <c r="X60" s="10"/>
      <c r="Y60" s="11"/>
      <c r="Z60" s="154">
        <f t="shared" si="6"/>
        <v>-5</v>
      </c>
      <c r="AA60" s="10"/>
      <c r="AB60" s="10"/>
      <c r="AC60" s="11"/>
      <c r="AD60" s="116"/>
      <c r="AF60" s="116"/>
      <c r="AG60" s="153" t="s">
        <v>198</v>
      </c>
      <c r="AH60" s="10"/>
      <c r="AI60" s="10"/>
      <c r="AJ60" s="11"/>
      <c r="AK60" s="108"/>
      <c r="AL60" s="10"/>
      <c r="AM60" s="10"/>
      <c r="AN60" s="11"/>
      <c r="AO60" s="154">
        <f t="shared" si="7"/>
        <v>-5</v>
      </c>
      <c r="AP60" s="10"/>
      <c r="AQ60" s="10"/>
      <c r="AR60" s="11"/>
      <c r="AS60" s="116"/>
      <c r="AU60" s="116"/>
      <c r="AV60" s="153" t="s">
        <v>198</v>
      </c>
      <c r="AW60" s="10"/>
      <c r="AX60" s="10"/>
      <c r="AY60" s="11"/>
      <c r="AZ60" s="108"/>
      <c r="BA60" s="10"/>
      <c r="BB60" s="10"/>
      <c r="BC60" s="11"/>
      <c r="BD60" s="154">
        <f t="shared" si="8"/>
        <v>-5</v>
      </c>
      <c r="BE60" s="10"/>
      <c r="BF60" s="10"/>
      <c r="BG60" s="11"/>
      <c r="BH60" s="116"/>
    </row>
    <row r="61">
      <c r="B61" s="116"/>
      <c r="C61" s="153" t="s">
        <v>199</v>
      </c>
      <c r="D61" s="10"/>
      <c r="E61" s="10"/>
      <c r="F61" s="11"/>
      <c r="G61" s="108"/>
      <c r="H61" s="10"/>
      <c r="I61" s="10"/>
      <c r="J61" s="11"/>
      <c r="K61" s="154">
        <f t="shared" si="5"/>
        <v>-5</v>
      </c>
      <c r="L61" s="10"/>
      <c r="M61" s="10"/>
      <c r="N61" s="11"/>
      <c r="O61" s="116"/>
      <c r="Q61" s="116"/>
      <c r="R61" s="153" t="s">
        <v>199</v>
      </c>
      <c r="S61" s="10"/>
      <c r="T61" s="10"/>
      <c r="U61" s="11"/>
      <c r="V61" s="108"/>
      <c r="W61" s="10"/>
      <c r="X61" s="10"/>
      <c r="Y61" s="11"/>
      <c r="Z61" s="154">
        <f t="shared" si="6"/>
        <v>-5</v>
      </c>
      <c r="AA61" s="10"/>
      <c r="AB61" s="10"/>
      <c r="AC61" s="11"/>
      <c r="AD61" s="116"/>
      <c r="AF61" s="116"/>
      <c r="AG61" s="153" t="s">
        <v>199</v>
      </c>
      <c r="AH61" s="10"/>
      <c r="AI61" s="10"/>
      <c r="AJ61" s="11"/>
      <c r="AK61" s="108"/>
      <c r="AL61" s="10"/>
      <c r="AM61" s="10"/>
      <c r="AN61" s="11"/>
      <c r="AO61" s="154">
        <f t="shared" si="7"/>
        <v>-5</v>
      </c>
      <c r="AP61" s="10"/>
      <c r="AQ61" s="10"/>
      <c r="AR61" s="11"/>
      <c r="AS61" s="116"/>
      <c r="AU61" s="116"/>
      <c r="AV61" s="153" t="s">
        <v>199</v>
      </c>
      <c r="AW61" s="10"/>
      <c r="AX61" s="10"/>
      <c r="AY61" s="11"/>
      <c r="AZ61" s="108"/>
      <c r="BA61" s="10"/>
      <c r="BB61" s="10"/>
      <c r="BC61" s="11"/>
      <c r="BD61" s="154">
        <f t="shared" si="8"/>
        <v>-5</v>
      </c>
      <c r="BE61" s="10"/>
      <c r="BF61" s="10"/>
      <c r="BG61" s="11"/>
      <c r="BH61" s="116"/>
    </row>
    <row r="62">
      <c r="B62" s="116"/>
      <c r="C62" s="153" t="s">
        <v>200</v>
      </c>
      <c r="D62" s="10"/>
      <c r="E62" s="10"/>
      <c r="F62" s="11"/>
      <c r="G62" s="108"/>
      <c r="H62" s="10"/>
      <c r="I62" s="10"/>
      <c r="J62" s="11"/>
      <c r="K62" s="154">
        <f t="shared" si="5"/>
        <v>-5</v>
      </c>
      <c r="L62" s="10"/>
      <c r="M62" s="10"/>
      <c r="N62" s="11"/>
      <c r="O62" s="116"/>
      <c r="Q62" s="116"/>
      <c r="R62" s="153" t="s">
        <v>200</v>
      </c>
      <c r="S62" s="10"/>
      <c r="T62" s="10"/>
      <c r="U62" s="11"/>
      <c r="V62" s="108"/>
      <c r="W62" s="10"/>
      <c r="X62" s="10"/>
      <c r="Y62" s="11"/>
      <c r="Z62" s="154">
        <f t="shared" si="6"/>
        <v>-5</v>
      </c>
      <c r="AA62" s="10"/>
      <c r="AB62" s="10"/>
      <c r="AC62" s="11"/>
      <c r="AD62" s="116"/>
      <c r="AF62" s="116"/>
      <c r="AG62" s="153" t="s">
        <v>200</v>
      </c>
      <c r="AH62" s="10"/>
      <c r="AI62" s="10"/>
      <c r="AJ62" s="11"/>
      <c r="AK62" s="108"/>
      <c r="AL62" s="10"/>
      <c r="AM62" s="10"/>
      <c r="AN62" s="11"/>
      <c r="AO62" s="154">
        <f t="shared" si="7"/>
        <v>-5</v>
      </c>
      <c r="AP62" s="10"/>
      <c r="AQ62" s="10"/>
      <c r="AR62" s="11"/>
      <c r="AS62" s="116"/>
      <c r="AU62" s="116"/>
      <c r="AV62" s="153" t="s">
        <v>200</v>
      </c>
      <c r="AW62" s="10"/>
      <c r="AX62" s="10"/>
      <c r="AY62" s="11"/>
      <c r="AZ62" s="108"/>
      <c r="BA62" s="10"/>
      <c r="BB62" s="10"/>
      <c r="BC62" s="11"/>
      <c r="BD62" s="154">
        <f t="shared" si="8"/>
        <v>-5</v>
      </c>
      <c r="BE62" s="10"/>
      <c r="BF62" s="10"/>
      <c r="BG62" s="11"/>
      <c r="BH62" s="116"/>
    </row>
    <row r="63">
      <c r="B63" s="116"/>
      <c r="C63" s="155" t="s">
        <v>201</v>
      </c>
      <c r="D63" s="10"/>
      <c r="E63" s="10"/>
      <c r="F63" s="11"/>
      <c r="G63" s="108"/>
      <c r="H63" s="10"/>
      <c r="I63" s="10"/>
      <c r="J63" s="11"/>
      <c r="K63" s="154">
        <f t="shared" si="5"/>
        <v>-5</v>
      </c>
      <c r="L63" s="10"/>
      <c r="M63" s="10"/>
      <c r="N63" s="11"/>
      <c r="O63" s="116"/>
      <c r="Q63" s="116"/>
      <c r="R63" s="155" t="s">
        <v>201</v>
      </c>
      <c r="S63" s="10"/>
      <c r="T63" s="10"/>
      <c r="U63" s="11"/>
      <c r="V63" s="108"/>
      <c r="W63" s="10"/>
      <c r="X63" s="10"/>
      <c r="Y63" s="11"/>
      <c r="Z63" s="154">
        <f t="shared" si="6"/>
        <v>-5</v>
      </c>
      <c r="AA63" s="10"/>
      <c r="AB63" s="10"/>
      <c r="AC63" s="11"/>
      <c r="AD63" s="116"/>
      <c r="AF63" s="116"/>
      <c r="AG63" s="155" t="s">
        <v>201</v>
      </c>
      <c r="AH63" s="10"/>
      <c r="AI63" s="10"/>
      <c r="AJ63" s="11"/>
      <c r="AK63" s="108"/>
      <c r="AL63" s="10"/>
      <c r="AM63" s="10"/>
      <c r="AN63" s="11"/>
      <c r="AO63" s="154">
        <f t="shared" si="7"/>
        <v>-5</v>
      </c>
      <c r="AP63" s="10"/>
      <c r="AQ63" s="10"/>
      <c r="AR63" s="11"/>
      <c r="AS63" s="116"/>
      <c r="AU63" s="116"/>
      <c r="AV63" s="155" t="s">
        <v>201</v>
      </c>
      <c r="AW63" s="10"/>
      <c r="AX63" s="10"/>
      <c r="AY63" s="11"/>
      <c r="AZ63" s="108"/>
      <c r="BA63" s="10"/>
      <c r="BB63" s="10"/>
      <c r="BC63" s="11"/>
      <c r="BD63" s="154">
        <f t="shared" si="8"/>
        <v>-5</v>
      </c>
      <c r="BE63" s="10"/>
      <c r="BF63" s="10"/>
      <c r="BG63" s="11"/>
      <c r="BH63" s="116"/>
    </row>
    <row r="64">
      <c r="B64" s="116"/>
      <c r="C64" s="156" t="s">
        <v>202</v>
      </c>
      <c r="D64" s="10"/>
      <c r="E64" s="10"/>
      <c r="F64" s="10"/>
      <c r="G64" s="10"/>
      <c r="H64" s="10"/>
      <c r="I64" s="10"/>
      <c r="J64" s="10"/>
      <c r="K64" s="10"/>
      <c r="L64" s="10"/>
      <c r="M64" s="10"/>
      <c r="N64" s="11"/>
      <c r="O64" s="116"/>
      <c r="Q64" s="116"/>
      <c r="R64" s="156" t="s">
        <v>202</v>
      </c>
      <c r="S64" s="10"/>
      <c r="T64" s="10"/>
      <c r="U64" s="10"/>
      <c r="V64" s="10"/>
      <c r="W64" s="10"/>
      <c r="X64" s="10"/>
      <c r="Y64" s="10"/>
      <c r="Z64" s="10"/>
      <c r="AA64" s="10"/>
      <c r="AB64" s="10"/>
      <c r="AC64" s="11"/>
      <c r="AD64" s="116"/>
      <c r="AF64" s="116"/>
      <c r="AG64" s="156" t="s">
        <v>202</v>
      </c>
      <c r="AH64" s="10"/>
      <c r="AI64" s="10"/>
      <c r="AJ64" s="10"/>
      <c r="AK64" s="10"/>
      <c r="AL64" s="10"/>
      <c r="AM64" s="10"/>
      <c r="AN64" s="10"/>
      <c r="AO64" s="10"/>
      <c r="AP64" s="10"/>
      <c r="AQ64" s="10"/>
      <c r="AR64" s="11"/>
      <c r="AS64" s="116"/>
      <c r="AU64" s="116"/>
      <c r="AV64" s="156" t="s">
        <v>202</v>
      </c>
      <c r="AW64" s="10"/>
      <c r="AX64" s="10"/>
      <c r="AY64" s="10"/>
      <c r="AZ64" s="10"/>
      <c r="BA64" s="10"/>
      <c r="BB64" s="10"/>
      <c r="BC64" s="10"/>
      <c r="BD64" s="10"/>
      <c r="BE64" s="10"/>
      <c r="BF64" s="10"/>
      <c r="BG64" s="11"/>
      <c r="BH64" s="116"/>
    </row>
    <row r="65">
      <c r="B65" s="116"/>
      <c r="C65" s="157"/>
      <c r="D65" s="10"/>
      <c r="E65" s="10"/>
      <c r="F65" s="10"/>
      <c r="G65" s="10"/>
      <c r="H65" s="11"/>
      <c r="I65" s="157"/>
      <c r="J65" s="10"/>
      <c r="K65" s="10"/>
      <c r="L65" s="10"/>
      <c r="M65" s="10"/>
      <c r="N65" s="11"/>
      <c r="O65" s="116"/>
      <c r="Q65" s="116"/>
      <c r="R65" s="157"/>
      <c r="S65" s="10"/>
      <c r="T65" s="10"/>
      <c r="U65" s="10"/>
      <c r="V65" s="10"/>
      <c r="W65" s="11"/>
      <c r="X65" s="157"/>
      <c r="Y65" s="10"/>
      <c r="Z65" s="10"/>
      <c r="AA65" s="10"/>
      <c r="AB65" s="10"/>
      <c r="AC65" s="11"/>
      <c r="AD65" s="116"/>
      <c r="AF65" s="116"/>
      <c r="AG65" s="157"/>
      <c r="AH65" s="10"/>
      <c r="AI65" s="10"/>
      <c r="AJ65" s="10"/>
      <c r="AK65" s="10"/>
      <c r="AL65" s="11"/>
      <c r="AM65" s="157"/>
      <c r="AN65" s="10"/>
      <c r="AO65" s="10"/>
      <c r="AP65" s="10"/>
      <c r="AQ65" s="10"/>
      <c r="AR65" s="11"/>
      <c r="AS65" s="116"/>
      <c r="AU65" s="116"/>
      <c r="AV65" s="157"/>
      <c r="AW65" s="10"/>
      <c r="AX65" s="10"/>
      <c r="AY65" s="10"/>
      <c r="AZ65" s="10"/>
      <c r="BA65" s="11"/>
      <c r="BB65" s="157"/>
      <c r="BC65" s="10"/>
      <c r="BD65" s="10"/>
      <c r="BE65" s="10"/>
      <c r="BF65" s="10"/>
      <c r="BG65" s="11"/>
      <c r="BH65" s="116"/>
    </row>
    <row r="66">
      <c r="B66" s="116"/>
      <c r="C66" s="157"/>
      <c r="D66" s="10"/>
      <c r="E66" s="10"/>
      <c r="F66" s="10"/>
      <c r="G66" s="10"/>
      <c r="H66" s="11"/>
      <c r="I66" s="157"/>
      <c r="J66" s="10"/>
      <c r="K66" s="10"/>
      <c r="L66" s="10"/>
      <c r="M66" s="10"/>
      <c r="N66" s="11"/>
      <c r="O66" s="116"/>
      <c r="Q66" s="116"/>
      <c r="R66" s="157"/>
      <c r="S66" s="10"/>
      <c r="T66" s="10"/>
      <c r="U66" s="10"/>
      <c r="V66" s="10"/>
      <c r="W66" s="11"/>
      <c r="X66" s="157"/>
      <c r="Y66" s="10"/>
      <c r="Z66" s="10"/>
      <c r="AA66" s="10"/>
      <c r="AB66" s="10"/>
      <c r="AC66" s="11"/>
      <c r="AD66" s="116"/>
      <c r="AF66" s="116"/>
      <c r="AG66" s="157"/>
      <c r="AH66" s="10"/>
      <c r="AI66" s="10"/>
      <c r="AJ66" s="10"/>
      <c r="AK66" s="10"/>
      <c r="AL66" s="11"/>
      <c r="AM66" s="157"/>
      <c r="AN66" s="10"/>
      <c r="AO66" s="10"/>
      <c r="AP66" s="10"/>
      <c r="AQ66" s="10"/>
      <c r="AR66" s="11"/>
      <c r="AS66" s="116"/>
      <c r="AU66" s="116"/>
      <c r="AV66" s="157"/>
      <c r="AW66" s="10"/>
      <c r="AX66" s="10"/>
      <c r="AY66" s="10"/>
      <c r="AZ66" s="10"/>
      <c r="BA66" s="11"/>
      <c r="BB66" s="157"/>
      <c r="BC66" s="10"/>
      <c r="BD66" s="10"/>
      <c r="BE66" s="10"/>
      <c r="BF66" s="10"/>
      <c r="BG66" s="11"/>
      <c r="BH66" s="116"/>
    </row>
    <row r="67">
      <c r="B67" s="116"/>
      <c r="C67" s="157"/>
      <c r="D67" s="10"/>
      <c r="E67" s="10"/>
      <c r="F67" s="10"/>
      <c r="G67" s="10"/>
      <c r="H67" s="11"/>
      <c r="I67" s="157"/>
      <c r="J67" s="10"/>
      <c r="K67" s="10"/>
      <c r="L67" s="10"/>
      <c r="M67" s="10"/>
      <c r="N67" s="11"/>
      <c r="O67" s="116"/>
      <c r="Q67" s="116"/>
      <c r="R67" s="157"/>
      <c r="S67" s="10"/>
      <c r="T67" s="10"/>
      <c r="U67" s="10"/>
      <c r="V67" s="10"/>
      <c r="W67" s="11"/>
      <c r="X67" s="157"/>
      <c r="Y67" s="10"/>
      <c r="Z67" s="10"/>
      <c r="AA67" s="10"/>
      <c r="AB67" s="10"/>
      <c r="AC67" s="11"/>
      <c r="AD67" s="116"/>
      <c r="AF67" s="116"/>
      <c r="AG67" s="157"/>
      <c r="AH67" s="10"/>
      <c r="AI67" s="10"/>
      <c r="AJ67" s="10"/>
      <c r="AK67" s="10"/>
      <c r="AL67" s="11"/>
      <c r="AM67" s="157"/>
      <c r="AN67" s="10"/>
      <c r="AO67" s="10"/>
      <c r="AP67" s="10"/>
      <c r="AQ67" s="10"/>
      <c r="AR67" s="11"/>
      <c r="AS67" s="116"/>
      <c r="AU67" s="116"/>
      <c r="AV67" s="157"/>
      <c r="AW67" s="10"/>
      <c r="AX67" s="10"/>
      <c r="AY67" s="10"/>
      <c r="AZ67" s="10"/>
      <c r="BA67" s="11"/>
      <c r="BB67" s="157"/>
      <c r="BC67" s="10"/>
      <c r="BD67" s="10"/>
      <c r="BE67" s="10"/>
      <c r="BF67" s="10"/>
      <c r="BG67" s="11"/>
      <c r="BH67" s="116"/>
    </row>
    <row r="68">
      <c r="B68" s="116"/>
      <c r="C68" s="157"/>
      <c r="D68" s="10"/>
      <c r="E68" s="10"/>
      <c r="F68" s="10"/>
      <c r="G68" s="10"/>
      <c r="H68" s="11"/>
      <c r="I68" s="157"/>
      <c r="J68" s="10"/>
      <c r="K68" s="10"/>
      <c r="L68" s="10"/>
      <c r="M68" s="10"/>
      <c r="N68" s="11"/>
      <c r="O68" s="116"/>
      <c r="Q68" s="116"/>
      <c r="R68" s="157"/>
      <c r="S68" s="10"/>
      <c r="T68" s="10"/>
      <c r="U68" s="10"/>
      <c r="V68" s="10"/>
      <c r="W68" s="11"/>
      <c r="X68" s="157"/>
      <c r="Y68" s="10"/>
      <c r="Z68" s="10"/>
      <c r="AA68" s="10"/>
      <c r="AB68" s="10"/>
      <c r="AC68" s="11"/>
      <c r="AD68" s="116"/>
      <c r="AF68" s="116"/>
      <c r="AG68" s="157"/>
      <c r="AH68" s="10"/>
      <c r="AI68" s="10"/>
      <c r="AJ68" s="10"/>
      <c r="AK68" s="10"/>
      <c r="AL68" s="11"/>
      <c r="AM68" s="157"/>
      <c r="AN68" s="10"/>
      <c r="AO68" s="10"/>
      <c r="AP68" s="10"/>
      <c r="AQ68" s="10"/>
      <c r="AR68" s="11"/>
      <c r="AS68" s="116"/>
      <c r="AU68" s="116"/>
      <c r="AV68" s="157"/>
      <c r="AW68" s="10"/>
      <c r="AX68" s="10"/>
      <c r="AY68" s="10"/>
      <c r="AZ68" s="10"/>
      <c r="BA68" s="11"/>
      <c r="BB68" s="157"/>
      <c r="BC68" s="10"/>
      <c r="BD68" s="10"/>
      <c r="BE68" s="10"/>
      <c r="BF68" s="10"/>
      <c r="BG68" s="11"/>
      <c r="BH68" s="116"/>
    </row>
    <row r="69">
      <c r="B69" s="116"/>
      <c r="C69" s="157"/>
      <c r="D69" s="10"/>
      <c r="E69" s="10"/>
      <c r="F69" s="10"/>
      <c r="G69" s="10"/>
      <c r="H69" s="11"/>
      <c r="I69" s="157"/>
      <c r="J69" s="10"/>
      <c r="K69" s="10"/>
      <c r="L69" s="10"/>
      <c r="M69" s="10"/>
      <c r="N69" s="11"/>
      <c r="O69" s="116"/>
      <c r="Q69" s="116"/>
      <c r="R69" s="157"/>
      <c r="S69" s="10"/>
      <c r="T69" s="10"/>
      <c r="U69" s="10"/>
      <c r="V69" s="10"/>
      <c r="W69" s="11"/>
      <c r="X69" s="157"/>
      <c r="Y69" s="10"/>
      <c r="Z69" s="10"/>
      <c r="AA69" s="10"/>
      <c r="AB69" s="10"/>
      <c r="AC69" s="11"/>
      <c r="AD69" s="116"/>
      <c r="AF69" s="116"/>
      <c r="AG69" s="157"/>
      <c r="AH69" s="10"/>
      <c r="AI69" s="10"/>
      <c r="AJ69" s="10"/>
      <c r="AK69" s="10"/>
      <c r="AL69" s="11"/>
      <c r="AM69" s="157"/>
      <c r="AN69" s="10"/>
      <c r="AO69" s="10"/>
      <c r="AP69" s="10"/>
      <c r="AQ69" s="10"/>
      <c r="AR69" s="11"/>
      <c r="AS69" s="116"/>
      <c r="AU69" s="116"/>
      <c r="AV69" s="157"/>
      <c r="AW69" s="10"/>
      <c r="AX69" s="10"/>
      <c r="AY69" s="10"/>
      <c r="AZ69" s="10"/>
      <c r="BA69" s="11"/>
      <c r="BB69" s="157"/>
      <c r="BC69" s="10"/>
      <c r="BD69" s="10"/>
      <c r="BE69" s="10"/>
      <c r="BF69" s="10"/>
      <c r="BG69" s="11"/>
      <c r="BH69" s="116"/>
    </row>
    <row r="70">
      <c r="B70" s="116"/>
      <c r="C70" s="151" t="s">
        <v>203</v>
      </c>
      <c r="D70" s="10"/>
      <c r="E70" s="10"/>
      <c r="F70" s="10"/>
      <c r="G70" s="10"/>
      <c r="H70" s="10"/>
      <c r="I70" s="10"/>
      <c r="J70" s="10"/>
      <c r="K70" s="10"/>
      <c r="L70" s="10"/>
      <c r="M70" s="10"/>
      <c r="N70" s="11"/>
      <c r="O70" s="116"/>
      <c r="Q70" s="116"/>
      <c r="R70" s="151" t="s">
        <v>203</v>
      </c>
      <c r="S70" s="10"/>
      <c r="T70" s="10"/>
      <c r="U70" s="10"/>
      <c r="V70" s="10"/>
      <c r="W70" s="10"/>
      <c r="X70" s="10"/>
      <c r="Y70" s="10"/>
      <c r="Z70" s="10"/>
      <c r="AA70" s="10"/>
      <c r="AB70" s="10"/>
      <c r="AC70" s="11"/>
      <c r="AD70" s="116"/>
      <c r="AF70" s="116"/>
      <c r="AG70" s="151" t="s">
        <v>203</v>
      </c>
      <c r="AH70" s="10"/>
      <c r="AI70" s="10"/>
      <c r="AJ70" s="10"/>
      <c r="AK70" s="10"/>
      <c r="AL70" s="10"/>
      <c r="AM70" s="10"/>
      <c r="AN70" s="10"/>
      <c r="AO70" s="10"/>
      <c r="AP70" s="10"/>
      <c r="AQ70" s="10"/>
      <c r="AR70" s="11"/>
      <c r="AS70" s="116"/>
      <c r="AU70" s="116"/>
      <c r="AV70" s="151" t="s">
        <v>203</v>
      </c>
      <c r="AW70" s="10"/>
      <c r="AX70" s="10"/>
      <c r="AY70" s="10"/>
      <c r="AZ70" s="10"/>
      <c r="BA70" s="10"/>
      <c r="BB70" s="10"/>
      <c r="BC70" s="10"/>
      <c r="BD70" s="10"/>
      <c r="BE70" s="10"/>
      <c r="BF70" s="10"/>
      <c r="BG70" s="11"/>
      <c r="BH70" s="116"/>
    </row>
    <row r="71">
      <c r="B71" s="116"/>
      <c r="C71" s="48" t="s">
        <v>34</v>
      </c>
      <c r="D71" s="10"/>
      <c r="E71" s="10"/>
      <c r="F71" s="11"/>
      <c r="G71" s="158" t="s">
        <v>62</v>
      </c>
      <c r="H71" s="10"/>
      <c r="I71" s="11"/>
      <c r="J71" s="109" t="s">
        <v>45</v>
      </c>
      <c r="K71" s="11"/>
      <c r="L71" s="48" t="s">
        <v>204</v>
      </c>
      <c r="M71" s="10"/>
      <c r="N71" s="11"/>
      <c r="O71" s="116"/>
      <c r="Q71" s="116"/>
      <c r="R71" s="48" t="s">
        <v>34</v>
      </c>
      <c r="S71" s="10"/>
      <c r="T71" s="10"/>
      <c r="U71" s="11"/>
      <c r="V71" s="158" t="s">
        <v>62</v>
      </c>
      <c r="W71" s="10"/>
      <c r="X71" s="11"/>
      <c r="Y71" s="109" t="s">
        <v>45</v>
      </c>
      <c r="Z71" s="11"/>
      <c r="AA71" s="48" t="s">
        <v>204</v>
      </c>
      <c r="AB71" s="10"/>
      <c r="AC71" s="11"/>
      <c r="AD71" s="116"/>
      <c r="AF71" s="116"/>
      <c r="AG71" s="48" t="s">
        <v>34</v>
      </c>
      <c r="AH71" s="10"/>
      <c r="AI71" s="10"/>
      <c r="AJ71" s="11"/>
      <c r="AK71" s="158" t="s">
        <v>62</v>
      </c>
      <c r="AL71" s="10"/>
      <c r="AM71" s="11"/>
      <c r="AN71" s="109" t="s">
        <v>45</v>
      </c>
      <c r="AO71" s="11"/>
      <c r="AP71" s="48" t="s">
        <v>204</v>
      </c>
      <c r="AQ71" s="10"/>
      <c r="AR71" s="11"/>
      <c r="AS71" s="116"/>
      <c r="AU71" s="116"/>
      <c r="AV71" s="48" t="s">
        <v>34</v>
      </c>
      <c r="AW71" s="10"/>
      <c r="AX71" s="10"/>
      <c r="AY71" s="11"/>
      <c r="AZ71" s="158" t="s">
        <v>62</v>
      </c>
      <c r="BA71" s="10"/>
      <c r="BB71" s="11"/>
      <c r="BC71" s="109" t="s">
        <v>45</v>
      </c>
      <c r="BD71" s="11"/>
      <c r="BE71" s="48" t="s">
        <v>204</v>
      </c>
      <c r="BF71" s="10"/>
      <c r="BG71" s="11"/>
      <c r="BH71" s="116"/>
    </row>
    <row r="72">
      <c r="B72" s="116"/>
      <c r="C72" s="157"/>
      <c r="D72" s="10"/>
      <c r="E72" s="10"/>
      <c r="F72" s="11"/>
      <c r="G72" s="157"/>
      <c r="H72" s="10"/>
      <c r="I72" s="11"/>
      <c r="J72" s="159"/>
      <c r="K72" s="11"/>
      <c r="L72" s="160"/>
      <c r="M72" s="10"/>
      <c r="N72" s="11"/>
      <c r="O72" s="116"/>
      <c r="Q72" s="116"/>
      <c r="R72" s="157"/>
      <c r="S72" s="10"/>
      <c r="T72" s="10"/>
      <c r="U72" s="11"/>
      <c r="V72" s="157"/>
      <c r="W72" s="10"/>
      <c r="X72" s="11"/>
      <c r="Y72" s="159"/>
      <c r="Z72" s="11"/>
      <c r="AA72" s="160"/>
      <c r="AB72" s="10"/>
      <c r="AC72" s="11"/>
      <c r="AD72" s="116"/>
      <c r="AF72" s="116"/>
      <c r="AG72" s="157"/>
      <c r="AH72" s="10"/>
      <c r="AI72" s="10"/>
      <c r="AJ72" s="11"/>
      <c r="AK72" s="157"/>
      <c r="AL72" s="10"/>
      <c r="AM72" s="11"/>
      <c r="AN72" s="159"/>
      <c r="AO72" s="11"/>
      <c r="AP72" s="160"/>
      <c r="AQ72" s="10"/>
      <c r="AR72" s="11"/>
      <c r="AS72" s="116"/>
      <c r="AU72" s="116"/>
      <c r="AV72" s="157"/>
      <c r="AW72" s="10"/>
      <c r="AX72" s="10"/>
      <c r="AY72" s="11"/>
      <c r="AZ72" s="157"/>
      <c r="BA72" s="10"/>
      <c r="BB72" s="11"/>
      <c r="BC72" s="159"/>
      <c r="BD72" s="11"/>
      <c r="BE72" s="160"/>
      <c r="BF72" s="10"/>
      <c r="BG72" s="11"/>
      <c r="BH72" s="116"/>
    </row>
    <row r="73">
      <c r="B73" s="116"/>
      <c r="C73" s="157"/>
      <c r="D73" s="10"/>
      <c r="E73" s="10"/>
      <c r="F73" s="11"/>
      <c r="G73" s="157"/>
      <c r="H73" s="10"/>
      <c r="I73" s="11"/>
      <c r="J73" s="159"/>
      <c r="K73" s="11"/>
      <c r="L73" s="160"/>
      <c r="M73" s="10"/>
      <c r="N73" s="11"/>
      <c r="O73" s="116"/>
      <c r="Q73" s="116"/>
      <c r="R73" s="157"/>
      <c r="S73" s="10"/>
      <c r="T73" s="10"/>
      <c r="U73" s="11"/>
      <c r="V73" s="157"/>
      <c r="W73" s="10"/>
      <c r="X73" s="11"/>
      <c r="Y73" s="159"/>
      <c r="Z73" s="11"/>
      <c r="AA73" s="160"/>
      <c r="AB73" s="10"/>
      <c r="AC73" s="11"/>
      <c r="AD73" s="116"/>
      <c r="AF73" s="116"/>
      <c r="AG73" s="157"/>
      <c r="AH73" s="10"/>
      <c r="AI73" s="10"/>
      <c r="AJ73" s="11"/>
      <c r="AK73" s="157"/>
      <c r="AL73" s="10"/>
      <c r="AM73" s="11"/>
      <c r="AN73" s="159"/>
      <c r="AO73" s="11"/>
      <c r="AP73" s="160"/>
      <c r="AQ73" s="10"/>
      <c r="AR73" s="11"/>
      <c r="AS73" s="116"/>
      <c r="AU73" s="116"/>
      <c r="AV73" s="157"/>
      <c r="AW73" s="10"/>
      <c r="AX73" s="10"/>
      <c r="AY73" s="11"/>
      <c r="AZ73" s="157"/>
      <c r="BA73" s="10"/>
      <c r="BB73" s="11"/>
      <c r="BC73" s="159"/>
      <c r="BD73" s="11"/>
      <c r="BE73" s="160"/>
      <c r="BF73" s="10"/>
      <c r="BG73" s="11"/>
      <c r="BH73" s="116"/>
    </row>
    <row r="74">
      <c r="B74" s="116"/>
      <c r="C74" s="157"/>
      <c r="D74" s="10"/>
      <c r="E74" s="10"/>
      <c r="F74" s="11"/>
      <c r="G74" s="157"/>
      <c r="H74" s="10"/>
      <c r="I74" s="11"/>
      <c r="J74" s="159"/>
      <c r="K74" s="11"/>
      <c r="L74" s="160"/>
      <c r="M74" s="10"/>
      <c r="N74" s="11"/>
      <c r="O74" s="116"/>
      <c r="Q74" s="116"/>
      <c r="R74" s="157"/>
      <c r="S74" s="10"/>
      <c r="T74" s="10"/>
      <c r="U74" s="11"/>
      <c r="V74" s="157"/>
      <c r="W74" s="10"/>
      <c r="X74" s="11"/>
      <c r="Y74" s="159"/>
      <c r="Z74" s="11"/>
      <c r="AA74" s="160"/>
      <c r="AB74" s="10"/>
      <c r="AC74" s="11"/>
      <c r="AD74" s="116"/>
      <c r="AF74" s="116"/>
      <c r="AG74" s="157"/>
      <c r="AH74" s="10"/>
      <c r="AI74" s="10"/>
      <c r="AJ74" s="11"/>
      <c r="AK74" s="157"/>
      <c r="AL74" s="10"/>
      <c r="AM74" s="11"/>
      <c r="AN74" s="159"/>
      <c r="AO74" s="11"/>
      <c r="AP74" s="160"/>
      <c r="AQ74" s="10"/>
      <c r="AR74" s="11"/>
      <c r="AS74" s="116"/>
      <c r="AU74" s="116"/>
      <c r="AV74" s="157"/>
      <c r="AW74" s="10"/>
      <c r="AX74" s="10"/>
      <c r="AY74" s="11"/>
      <c r="AZ74" s="157"/>
      <c r="BA74" s="10"/>
      <c r="BB74" s="11"/>
      <c r="BC74" s="159"/>
      <c r="BD74" s="11"/>
      <c r="BE74" s="160"/>
      <c r="BF74" s="10"/>
      <c r="BG74" s="11"/>
      <c r="BH74" s="116"/>
    </row>
    <row r="75">
      <c r="B75" s="116"/>
      <c r="C75" s="157"/>
      <c r="D75" s="10"/>
      <c r="E75" s="10"/>
      <c r="F75" s="11"/>
      <c r="G75" s="157"/>
      <c r="H75" s="10"/>
      <c r="I75" s="11"/>
      <c r="J75" s="159"/>
      <c r="K75" s="11"/>
      <c r="L75" s="160"/>
      <c r="M75" s="10"/>
      <c r="N75" s="11"/>
      <c r="O75" s="116"/>
      <c r="Q75" s="116"/>
      <c r="R75" s="157"/>
      <c r="S75" s="10"/>
      <c r="T75" s="10"/>
      <c r="U75" s="11"/>
      <c r="V75" s="157"/>
      <c r="W75" s="10"/>
      <c r="X75" s="11"/>
      <c r="Y75" s="159"/>
      <c r="Z75" s="11"/>
      <c r="AA75" s="160"/>
      <c r="AB75" s="10"/>
      <c r="AC75" s="11"/>
      <c r="AD75" s="116"/>
      <c r="AF75" s="116"/>
      <c r="AG75" s="157"/>
      <c r="AH75" s="10"/>
      <c r="AI75" s="10"/>
      <c r="AJ75" s="11"/>
      <c r="AK75" s="157"/>
      <c r="AL75" s="10"/>
      <c r="AM75" s="11"/>
      <c r="AN75" s="159"/>
      <c r="AO75" s="11"/>
      <c r="AP75" s="160"/>
      <c r="AQ75" s="10"/>
      <c r="AR75" s="11"/>
      <c r="AS75" s="116"/>
      <c r="AU75" s="116"/>
      <c r="AV75" s="157"/>
      <c r="AW75" s="10"/>
      <c r="AX75" s="10"/>
      <c r="AY75" s="11"/>
      <c r="AZ75" s="157"/>
      <c r="BA75" s="10"/>
      <c r="BB75" s="11"/>
      <c r="BC75" s="159"/>
      <c r="BD75" s="11"/>
      <c r="BE75" s="160"/>
      <c r="BF75" s="10"/>
      <c r="BG75" s="11"/>
      <c r="BH75" s="116"/>
    </row>
    <row r="76">
      <c r="B76" s="116"/>
      <c r="C76" s="157"/>
      <c r="D76" s="10"/>
      <c r="E76" s="10"/>
      <c r="F76" s="11"/>
      <c r="G76" s="157"/>
      <c r="H76" s="10"/>
      <c r="I76" s="11"/>
      <c r="J76" s="159"/>
      <c r="K76" s="11"/>
      <c r="L76" s="160"/>
      <c r="M76" s="10"/>
      <c r="N76" s="11"/>
      <c r="O76" s="116"/>
      <c r="Q76" s="116"/>
      <c r="R76" s="157"/>
      <c r="S76" s="10"/>
      <c r="T76" s="10"/>
      <c r="U76" s="11"/>
      <c r="V76" s="157"/>
      <c r="W76" s="10"/>
      <c r="X76" s="11"/>
      <c r="Y76" s="159"/>
      <c r="Z76" s="11"/>
      <c r="AA76" s="160"/>
      <c r="AB76" s="10"/>
      <c r="AC76" s="11"/>
      <c r="AD76" s="116"/>
      <c r="AF76" s="116"/>
      <c r="AG76" s="157"/>
      <c r="AH76" s="10"/>
      <c r="AI76" s="10"/>
      <c r="AJ76" s="11"/>
      <c r="AK76" s="157"/>
      <c r="AL76" s="10"/>
      <c r="AM76" s="11"/>
      <c r="AN76" s="159"/>
      <c r="AO76" s="11"/>
      <c r="AP76" s="160"/>
      <c r="AQ76" s="10"/>
      <c r="AR76" s="11"/>
      <c r="AS76" s="116"/>
      <c r="AU76" s="116"/>
      <c r="AV76" s="157"/>
      <c r="AW76" s="10"/>
      <c r="AX76" s="10"/>
      <c r="AY76" s="11"/>
      <c r="AZ76" s="157"/>
      <c r="BA76" s="10"/>
      <c r="BB76" s="11"/>
      <c r="BC76" s="159"/>
      <c r="BD76" s="11"/>
      <c r="BE76" s="160"/>
      <c r="BF76" s="10"/>
      <c r="BG76" s="11"/>
      <c r="BH76" s="116"/>
    </row>
    <row r="77">
      <c r="B77" s="116"/>
      <c r="C77" s="157"/>
      <c r="D77" s="10"/>
      <c r="E77" s="10"/>
      <c r="F77" s="11"/>
      <c r="G77" s="157"/>
      <c r="H77" s="10"/>
      <c r="I77" s="11"/>
      <c r="J77" s="159"/>
      <c r="K77" s="11"/>
      <c r="L77" s="160"/>
      <c r="M77" s="10"/>
      <c r="N77" s="11"/>
      <c r="O77" s="116"/>
      <c r="Q77" s="116"/>
      <c r="R77" s="157"/>
      <c r="S77" s="10"/>
      <c r="T77" s="10"/>
      <c r="U77" s="11"/>
      <c r="V77" s="157"/>
      <c r="W77" s="10"/>
      <c r="X77" s="11"/>
      <c r="Y77" s="159"/>
      <c r="Z77" s="11"/>
      <c r="AA77" s="160"/>
      <c r="AB77" s="10"/>
      <c r="AC77" s="11"/>
      <c r="AD77" s="116"/>
      <c r="AF77" s="116"/>
      <c r="AG77" s="157"/>
      <c r="AH77" s="10"/>
      <c r="AI77" s="10"/>
      <c r="AJ77" s="11"/>
      <c r="AK77" s="157"/>
      <c r="AL77" s="10"/>
      <c r="AM77" s="11"/>
      <c r="AN77" s="159"/>
      <c r="AO77" s="11"/>
      <c r="AP77" s="160"/>
      <c r="AQ77" s="10"/>
      <c r="AR77" s="11"/>
      <c r="AS77" s="116"/>
      <c r="AU77" s="116"/>
      <c r="AV77" s="157"/>
      <c r="AW77" s="10"/>
      <c r="AX77" s="10"/>
      <c r="AY77" s="11"/>
      <c r="AZ77" s="157"/>
      <c r="BA77" s="10"/>
      <c r="BB77" s="11"/>
      <c r="BC77" s="159"/>
      <c r="BD77" s="11"/>
      <c r="BE77" s="160"/>
      <c r="BF77" s="10"/>
      <c r="BG77" s="11"/>
      <c r="BH77" s="116"/>
    </row>
    <row r="78">
      <c r="B78" s="116"/>
      <c r="C78" s="157"/>
      <c r="D78" s="10"/>
      <c r="E78" s="10"/>
      <c r="F78" s="11"/>
      <c r="G78" s="157"/>
      <c r="H78" s="10"/>
      <c r="I78" s="11"/>
      <c r="J78" s="159"/>
      <c r="K78" s="11"/>
      <c r="L78" s="160"/>
      <c r="M78" s="10"/>
      <c r="N78" s="11"/>
      <c r="O78" s="116"/>
      <c r="Q78" s="116"/>
      <c r="R78" s="157"/>
      <c r="S78" s="10"/>
      <c r="T78" s="10"/>
      <c r="U78" s="11"/>
      <c r="V78" s="157"/>
      <c r="W78" s="10"/>
      <c r="X78" s="11"/>
      <c r="Y78" s="159"/>
      <c r="Z78" s="11"/>
      <c r="AA78" s="160"/>
      <c r="AB78" s="10"/>
      <c r="AC78" s="11"/>
      <c r="AD78" s="116"/>
      <c r="AF78" s="116"/>
      <c r="AG78" s="157"/>
      <c r="AH78" s="10"/>
      <c r="AI78" s="10"/>
      <c r="AJ78" s="11"/>
      <c r="AK78" s="157"/>
      <c r="AL78" s="10"/>
      <c r="AM78" s="11"/>
      <c r="AN78" s="159"/>
      <c r="AO78" s="11"/>
      <c r="AP78" s="160"/>
      <c r="AQ78" s="10"/>
      <c r="AR78" s="11"/>
      <c r="AS78" s="116"/>
      <c r="AU78" s="116"/>
      <c r="AV78" s="157"/>
      <c r="AW78" s="10"/>
      <c r="AX78" s="10"/>
      <c r="AY78" s="11"/>
      <c r="AZ78" s="157"/>
      <c r="BA78" s="10"/>
      <c r="BB78" s="11"/>
      <c r="BC78" s="159"/>
      <c r="BD78" s="11"/>
      <c r="BE78" s="160"/>
      <c r="BF78" s="10"/>
      <c r="BG78" s="11"/>
      <c r="BH78" s="116"/>
    </row>
    <row r="79">
      <c r="B79" s="116"/>
      <c r="C79" s="157"/>
      <c r="D79" s="10"/>
      <c r="E79" s="10"/>
      <c r="F79" s="11"/>
      <c r="G79" s="157"/>
      <c r="H79" s="10"/>
      <c r="I79" s="11"/>
      <c r="J79" s="159"/>
      <c r="K79" s="11"/>
      <c r="L79" s="160"/>
      <c r="M79" s="10"/>
      <c r="N79" s="11"/>
      <c r="O79" s="116"/>
      <c r="Q79" s="116"/>
      <c r="R79" s="157"/>
      <c r="S79" s="10"/>
      <c r="T79" s="10"/>
      <c r="U79" s="11"/>
      <c r="V79" s="157"/>
      <c r="W79" s="10"/>
      <c r="X79" s="11"/>
      <c r="Y79" s="159"/>
      <c r="Z79" s="11"/>
      <c r="AA79" s="160"/>
      <c r="AB79" s="10"/>
      <c r="AC79" s="11"/>
      <c r="AD79" s="116"/>
      <c r="AF79" s="116"/>
      <c r="AG79" s="157"/>
      <c r="AH79" s="10"/>
      <c r="AI79" s="10"/>
      <c r="AJ79" s="11"/>
      <c r="AK79" s="157"/>
      <c r="AL79" s="10"/>
      <c r="AM79" s="11"/>
      <c r="AN79" s="159"/>
      <c r="AO79" s="11"/>
      <c r="AP79" s="160"/>
      <c r="AQ79" s="10"/>
      <c r="AR79" s="11"/>
      <c r="AS79" s="116"/>
      <c r="AU79" s="116"/>
      <c r="AV79" s="157"/>
      <c r="AW79" s="10"/>
      <c r="AX79" s="10"/>
      <c r="AY79" s="11"/>
      <c r="AZ79" s="157"/>
      <c r="BA79" s="10"/>
      <c r="BB79" s="11"/>
      <c r="BC79" s="159"/>
      <c r="BD79" s="11"/>
      <c r="BE79" s="160"/>
      <c r="BF79" s="10"/>
      <c r="BG79" s="11"/>
      <c r="BH79" s="116"/>
    </row>
    <row r="80">
      <c r="B80" s="116"/>
      <c r="C80" s="157"/>
      <c r="D80" s="10"/>
      <c r="E80" s="10"/>
      <c r="F80" s="11"/>
      <c r="G80" s="157"/>
      <c r="H80" s="10"/>
      <c r="I80" s="11"/>
      <c r="J80" s="159"/>
      <c r="K80" s="11"/>
      <c r="L80" s="160"/>
      <c r="M80" s="10"/>
      <c r="N80" s="11"/>
      <c r="O80" s="116"/>
      <c r="Q80" s="116"/>
      <c r="R80" s="157"/>
      <c r="S80" s="10"/>
      <c r="T80" s="10"/>
      <c r="U80" s="11"/>
      <c r="V80" s="157"/>
      <c r="W80" s="10"/>
      <c r="X80" s="11"/>
      <c r="Y80" s="159"/>
      <c r="Z80" s="11"/>
      <c r="AA80" s="160"/>
      <c r="AB80" s="10"/>
      <c r="AC80" s="11"/>
      <c r="AD80" s="116"/>
      <c r="AF80" s="116"/>
      <c r="AG80" s="157"/>
      <c r="AH80" s="10"/>
      <c r="AI80" s="10"/>
      <c r="AJ80" s="11"/>
      <c r="AK80" s="157"/>
      <c r="AL80" s="10"/>
      <c r="AM80" s="11"/>
      <c r="AN80" s="159"/>
      <c r="AO80" s="11"/>
      <c r="AP80" s="160"/>
      <c r="AQ80" s="10"/>
      <c r="AR80" s="11"/>
      <c r="AS80" s="116"/>
      <c r="AU80" s="116"/>
      <c r="AV80" s="157"/>
      <c r="AW80" s="10"/>
      <c r="AX80" s="10"/>
      <c r="AY80" s="11"/>
      <c r="AZ80" s="157"/>
      <c r="BA80" s="10"/>
      <c r="BB80" s="11"/>
      <c r="BC80" s="159"/>
      <c r="BD80" s="11"/>
      <c r="BE80" s="160"/>
      <c r="BF80" s="10"/>
      <c r="BG80" s="11"/>
      <c r="BH80" s="116"/>
    </row>
    <row r="81">
      <c r="B81" s="116"/>
      <c r="C81" s="161"/>
      <c r="D81" s="10"/>
      <c r="E81" s="10"/>
      <c r="F81" s="11"/>
      <c r="G81" s="161"/>
      <c r="H81" s="10"/>
      <c r="I81" s="11"/>
      <c r="J81" s="159"/>
      <c r="K81" s="11"/>
      <c r="L81" s="160"/>
      <c r="M81" s="10"/>
      <c r="N81" s="11"/>
      <c r="O81" s="116"/>
      <c r="Q81" s="116"/>
      <c r="R81" s="161"/>
      <c r="S81" s="10"/>
      <c r="T81" s="10"/>
      <c r="U81" s="11"/>
      <c r="V81" s="161"/>
      <c r="W81" s="10"/>
      <c r="X81" s="11"/>
      <c r="Y81" s="159"/>
      <c r="Z81" s="11"/>
      <c r="AA81" s="160"/>
      <c r="AB81" s="10"/>
      <c r="AC81" s="11"/>
      <c r="AD81" s="116"/>
      <c r="AF81" s="116"/>
      <c r="AG81" s="161"/>
      <c r="AH81" s="10"/>
      <c r="AI81" s="10"/>
      <c r="AJ81" s="11"/>
      <c r="AK81" s="161"/>
      <c r="AL81" s="10"/>
      <c r="AM81" s="11"/>
      <c r="AN81" s="159"/>
      <c r="AO81" s="11"/>
      <c r="AP81" s="160"/>
      <c r="AQ81" s="10"/>
      <c r="AR81" s="11"/>
      <c r="AS81" s="116"/>
      <c r="AU81" s="116"/>
      <c r="AV81" s="161"/>
      <c r="AW81" s="10"/>
      <c r="AX81" s="10"/>
      <c r="AY81" s="11"/>
      <c r="AZ81" s="161"/>
      <c r="BA81" s="10"/>
      <c r="BB81" s="11"/>
      <c r="BC81" s="159"/>
      <c r="BD81" s="11"/>
      <c r="BE81" s="160"/>
      <c r="BF81" s="10"/>
      <c r="BG81" s="11"/>
      <c r="BH81" s="116"/>
    </row>
    <row r="82">
      <c r="B82" s="116"/>
      <c r="C82" s="161"/>
      <c r="D82" s="10"/>
      <c r="E82" s="10"/>
      <c r="F82" s="11"/>
      <c r="G82" s="161"/>
      <c r="H82" s="10"/>
      <c r="I82" s="11"/>
      <c r="J82" s="159"/>
      <c r="K82" s="11"/>
      <c r="L82" s="160"/>
      <c r="M82" s="10"/>
      <c r="N82" s="11"/>
      <c r="O82" s="116"/>
      <c r="Q82" s="116"/>
      <c r="R82" s="161"/>
      <c r="S82" s="10"/>
      <c r="T82" s="10"/>
      <c r="U82" s="11"/>
      <c r="V82" s="161"/>
      <c r="W82" s="10"/>
      <c r="X82" s="11"/>
      <c r="Y82" s="159"/>
      <c r="Z82" s="11"/>
      <c r="AA82" s="160"/>
      <c r="AB82" s="10"/>
      <c r="AC82" s="11"/>
      <c r="AD82" s="116"/>
      <c r="AF82" s="116"/>
      <c r="AG82" s="161"/>
      <c r="AH82" s="10"/>
      <c r="AI82" s="10"/>
      <c r="AJ82" s="11"/>
      <c r="AK82" s="161"/>
      <c r="AL82" s="10"/>
      <c r="AM82" s="11"/>
      <c r="AN82" s="159"/>
      <c r="AO82" s="11"/>
      <c r="AP82" s="160"/>
      <c r="AQ82" s="10"/>
      <c r="AR82" s="11"/>
      <c r="AS82" s="116"/>
      <c r="AU82" s="116"/>
      <c r="AV82" s="161"/>
      <c r="AW82" s="10"/>
      <c r="AX82" s="10"/>
      <c r="AY82" s="11"/>
      <c r="AZ82" s="161"/>
      <c r="BA82" s="10"/>
      <c r="BB82" s="11"/>
      <c r="BC82" s="159"/>
      <c r="BD82" s="11"/>
      <c r="BE82" s="160"/>
      <c r="BF82" s="10"/>
      <c r="BG82" s="11"/>
      <c r="BH82" s="116"/>
    </row>
    <row r="83">
      <c r="B83" s="81"/>
      <c r="C83" s="161"/>
      <c r="D83" s="10"/>
      <c r="E83" s="10"/>
      <c r="F83" s="11"/>
      <c r="G83" s="161"/>
      <c r="H83" s="10"/>
      <c r="I83" s="11"/>
      <c r="J83" s="159"/>
      <c r="K83" s="11"/>
      <c r="L83" s="160"/>
      <c r="M83" s="10"/>
      <c r="N83" s="11"/>
      <c r="O83" s="81"/>
      <c r="Q83" s="81"/>
      <c r="R83" s="161"/>
      <c r="S83" s="10"/>
      <c r="T83" s="10"/>
      <c r="U83" s="11"/>
      <c r="V83" s="161"/>
      <c r="W83" s="10"/>
      <c r="X83" s="11"/>
      <c r="Y83" s="159"/>
      <c r="Z83" s="11"/>
      <c r="AA83" s="160"/>
      <c r="AB83" s="10"/>
      <c r="AC83" s="11"/>
      <c r="AD83" s="81"/>
      <c r="AF83" s="81"/>
      <c r="AG83" s="161"/>
      <c r="AH83" s="10"/>
      <c r="AI83" s="10"/>
      <c r="AJ83" s="11"/>
      <c r="AK83" s="161"/>
      <c r="AL83" s="10"/>
      <c r="AM83" s="11"/>
      <c r="AN83" s="159"/>
      <c r="AO83" s="11"/>
      <c r="AP83" s="160"/>
      <c r="AQ83" s="10"/>
      <c r="AR83" s="11"/>
      <c r="AS83" s="81"/>
      <c r="AU83" s="81"/>
      <c r="AV83" s="161"/>
      <c r="AW83" s="10"/>
      <c r="AX83" s="10"/>
      <c r="AY83" s="11"/>
      <c r="AZ83" s="161"/>
      <c r="BA83" s="10"/>
      <c r="BB83" s="11"/>
      <c r="BC83" s="159"/>
      <c r="BD83" s="11"/>
      <c r="BE83" s="160"/>
      <c r="BF83" s="10"/>
      <c r="BG83" s="11"/>
      <c r="BH83" s="81"/>
    </row>
    <row r="84">
      <c r="B84" s="24"/>
    </row>
    <row r="85">
      <c r="B85" s="141" t="s">
        <v>209</v>
      </c>
      <c r="C85" s="4"/>
      <c r="D85" s="4"/>
      <c r="E85" s="4"/>
      <c r="F85" s="4"/>
      <c r="G85" s="4"/>
      <c r="H85" s="4"/>
      <c r="I85" s="4"/>
      <c r="J85" s="4"/>
      <c r="K85" s="4"/>
      <c r="L85" s="4"/>
      <c r="M85" s="4"/>
      <c r="N85" s="4"/>
      <c r="O85" s="5"/>
      <c r="P85" s="140"/>
      <c r="Q85" s="141" t="s">
        <v>210</v>
      </c>
      <c r="R85" s="4"/>
      <c r="S85" s="4"/>
      <c r="T85" s="4"/>
      <c r="U85" s="4"/>
      <c r="V85" s="4"/>
      <c r="W85" s="4"/>
      <c r="X85" s="4"/>
      <c r="Y85" s="4"/>
      <c r="Z85" s="4"/>
      <c r="AA85" s="4"/>
      <c r="AB85" s="4"/>
      <c r="AC85" s="4"/>
      <c r="AD85" s="5"/>
      <c r="AE85" s="140"/>
      <c r="AF85" s="141" t="s">
        <v>211</v>
      </c>
      <c r="AG85" s="4"/>
      <c r="AH85" s="4"/>
      <c r="AI85" s="4"/>
      <c r="AJ85" s="4"/>
      <c r="AK85" s="4"/>
      <c r="AL85" s="4"/>
      <c r="AM85" s="4"/>
      <c r="AN85" s="4"/>
      <c r="AO85" s="4"/>
      <c r="AP85" s="4"/>
      <c r="AQ85" s="4"/>
      <c r="AR85" s="4"/>
      <c r="AS85" s="5"/>
      <c r="AT85" s="140"/>
      <c r="AU85" s="141" t="s">
        <v>212</v>
      </c>
      <c r="AV85" s="4"/>
      <c r="AW85" s="4"/>
      <c r="AX85" s="4"/>
      <c r="AY85" s="4"/>
      <c r="AZ85" s="4"/>
      <c r="BA85" s="4"/>
      <c r="BB85" s="4"/>
      <c r="BC85" s="4"/>
      <c r="BD85" s="4"/>
      <c r="BE85" s="4"/>
      <c r="BF85" s="4"/>
      <c r="BG85" s="4"/>
      <c r="BH85" s="5"/>
    </row>
    <row r="86">
      <c r="B86" s="16"/>
      <c r="C86" s="17"/>
      <c r="D86" s="17"/>
      <c r="E86" s="17"/>
      <c r="F86" s="17"/>
      <c r="G86" s="17"/>
      <c r="H86" s="17"/>
      <c r="I86" s="17"/>
      <c r="J86" s="17"/>
      <c r="K86" s="17"/>
      <c r="L86" s="17"/>
      <c r="M86" s="17"/>
      <c r="N86" s="17"/>
      <c r="O86" s="18"/>
      <c r="Q86" s="16"/>
      <c r="R86" s="17"/>
      <c r="S86" s="17"/>
      <c r="T86" s="17"/>
      <c r="U86" s="17"/>
      <c r="V86" s="17"/>
      <c r="W86" s="17"/>
      <c r="X86" s="17"/>
      <c r="Y86" s="17"/>
      <c r="Z86" s="17"/>
      <c r="AA86" s="17"/>
      <c r="AB86" s="17"/>
      <c r="AC86" s="17"/>
      <c r="AD86" s="18"/>
      <c r="AF86" s="16"/>
      <c r="AG86" s="17"/>
      <c r="AH86" s="17"/>
      <c r="AI86" s="17"/>
      <c r="AJ86" s="17"/>
      <c r="AK86" s="17"/>
      <c r="AL86" s="17"/>
      <c r="AM86" s="17"/>
      <c r="AN86" s="17"/>
      <c r="AO86" s="17"/>
      <c r="AP86" s="17"/>
      <c r="AQ86" s="17"/>
      <c r="AR86" s="17"/>
      <c r="AS86" s="18"/>
      <c r="AU86" s="16"/>
      <c r="AV86" s="17"/>
      <c r="AW86" s="17"/>
      <c r="AX86" s="17"/>
      <c r="AY86" s="17"/>
      <c r="AZ86" s="17"/>
      <c r="BA86" s="17"/>
      <c r="BB86" s="17"/>
      <c r="BC86" s="17"/>
      <c r="BD86" s="17"/>
      <c r="BE86" s="17"/>
      <c r="BF86" s="17"/>
      <c r="BG86" s="17"/>
      <c r="BH86" s="18"/>
    </row>
    <row r="87">
      <c r="B87" s="115"/>
      <c r="C87" s="48" t="s">
        <v>194</v>
      </c>
      <c r="D87" s="10"/>
      <c r="E87" s="10"/>
      <c r="F87" s="10"/>
      <c r="G87" s="10"/>
      <c r="H87" s="10"/>
      <c r="I87" s="10"/>
      <c r="J87" s="10"/>
      <c r="K87" s="10"/>
      <c r="L87" s="10"/>
      <c r="M87" s="10"/>
      <c r="N87" s="11"/>
      <c r="O87" s="115"/>
      <c r="Q87" s="115"/>
      <c r="R87" s="48" t="s">
        <v>194</v>
      </c>
      <c r="S87" s="10"/>
      <c r="T87" s="10"/>
      <c r="U87" s="10"/>
      <c r="V87" s="10"/>
      <c r="W87" s="10"/>
      <c r="X87" s="10"/>
      <c r="Y87" s="10"/>
      <c r="Z87" s="10"/>
      <c r="AA87" s="10"/>
      <c r="AB87" s="10"/>
      <c r="AC87" s="11"/>
      <c r="AD87" s="115"/>
      <c r="AF87" s="115"/>
      <c r="AG87" s="48" t="s">
        <v>194</v>
      </c>
      <c r="AH87" s="10"/>
      <c r="AI87" s="10"/>
      <c r="AJ87" s="10"/>
      <c r="AK87" s="10"/>
      <c r="AL87" s="10"/>
      <c r="AM87" s="10"/>
      <c r="AN87" s="10"/>
      <c r="AO87" s="10"/>
      <c r="AP87" s="10"/>
      <c r="AQ87" s="10"/>
      <c r="AR87" s="11"/>
      <c r="AS87" s="115"/>
      <c r="AU87" s="115"/>
      <c r="AV87" s="48" t="s">
        <v>194</v>
      </c>
      <c r="AW87" s="10"/>
      <c r="AX87" s="10"/>
      <c r="AY87" s="10"/>
      <c r="AZ87" s="10"/>
      <c r="BA87" s="10"/>
      <c r="BB87" s="10"/>
      <c r="BC87" s="10"/>
      <c r="BD87" s="10"/>
      <c r="BE87" s="10"/>
      <c r="BF87" s="10"/>
      <c r="BG87" s="11"/>
      <c r="BH87" s="115"/>
    </row>
    <row r="88">
      <c r="B88" s="116"/>
      <c r="C88" s="126"/>
      <c r="D88" s="10"/>
      <c r="E88" s="10"/>
      <c r="F88" s="10"/>
      <c r="G88" s="10"/>
      <c r="H88" s="10"/>
      <c r="I88" s="10"/>
      <c r="J88" s="10"/>
      <c r="K88" s="10"/>
      <c r="L88" s="10"/>
      <c r="M88" s="10"/>
      <c r="N88" s="11"/>
      <c r="O88" s="116"/>
      <c r="Q88" s="116"/>
      <c r="R88" s="126"/>
      <c r="S88" s="10"/>
      <c r="T88" s="10"/>
      <c r="U88" s="10"/>
      <c r="V88" s="10"/>
      <c r="W88" s="10"/>
      <c r="X88" s="10"/>
      <c r="Y88" s="10"/>
      <c r="Z88" s="10"/>
      <c r="AA88" s="10"/>
      <c r="AB88" s="10"/>
      <c r="AC88" s="11"/>
      <c r="AD88" s="116"/>
      <c r="AF88" s="116"/>
      <c r="AG88" s="126"/>
      <c r="AH88" s="10"/>
      <c r="AI88" s="10"/>
      <c r="AJ88" s="10"/>
      <c r="AK88" s="10"/>
      <c r="AL88" s="10"/>
      <c r="AM88" s="10"/>
      <c r="AN88" s="10"/>
      <c r="AO88" s="10"/>
      <c r="AP88" s="10"/>
      <c r="AQ88" s="10"/>
      <c r="AR88" s="11"/>
      <c r="AS88" s="116"/>
      <c r="AU88" s="116"/>
      <c r="AV88" s="126"/>
      <c r="AW88" s="10"/>
      <c r="AX88" s="10"/>
      <c r="AY88" s="10"/>
      <c r="AZ88" s="10"/>
      <c r="BA88" s="10"/>
      <c r="BB88" s="10"/>
      <c r="BC88" s="10"/>
      <c r="BD88" s="10"/>
      <c r="BE88" s="10"/>
      <c r="BF88" s="10"/>
      <c r="BG88" s="11"/>
      <c r="BH88" s="116"/>
    </row>
    <row r="89">
      <c r="B89" s="116"/>
      <c r="C89" s="142"/>
      <c r="D89" s="10"/>
      <c r="E89" s="10"/>
      <c r="F89" s="10"/>
      <c r="G89" s="10"/>
      <c r="H89" s="10"/>
      <c r="I89" s="10"/>
      <c r="J89" s="10"/>
      <c r="K89" s="10"/>
      <c r="L89" s="10"/>
      <c r="M89" s="10"/>
      <c r="N89" s="11"/>
      <c r="O89" s="116"/>
      <c r="Q89" s="116"/>
      <c r="R89" s="142"/>
      <c r="S89" s="10"/>
      <c r="T89" s="10"/>
      <c r="U89" s="10"/>
      <c r="V89" s="10"/>
      <c r="W89" s="10"/>
      <c r="X89" s="10"/>
      <c r="Y89" s="10"/>
      <c r="Z89" s="10"/>
      <c r="AA89" s="10"/>
      <c r="AB89" s="10"/>
      <c r="AC89" s="11"/>
      <c r="AD89" s="116"/>
      <c r="AF89" s="116"/>
      <c r="AG89" s="142"/>
      <c r="AH89" s="10"/>
      <c r="AI89" s="10"/>
      <c r="AJ89" s="10"/>
      <c r="AK89" s="10"/>
      <c r="AL89" s="10"/>
      <c r="AM89" s="10"/>
      <c r="AN89" s="10"/>
      <c r="AO89" s="10"/>
      <c r="AP89" s="10"/>
      <c r="AQ89" s="10"/>
      <c r="AR89" s="11"/>
      <c r="AS89" s="116"/>
      <c r="AU89" s="116"/>
      <c r="AV89" s="142"/>
      <c r="AW89" s="10"/>
      <c r="AX89" s="10"/>
      <c r="AY89" s="10"/>
      <c r="AZ89" s="10"/>
      <c r="BA89" s="10"/>
      <c r="BB89" s="10"/>
      <c r="BC89" s="10"/>
      <c r="BD89" s="10"/>
      <c r="BE89" s="10"/>
      <c r="BF89" s="10"/>
      <c r="BG89" s="11"/>
      <c r="BH89" s="116"/>
    </row>
    <row r="90">
      <c r="B90" s="116"/>
      <c r="C90" s="143"/>
      <c r="D90" s="4"/>
      <c r="E90" s="5"/>
      <c r="F90" s="144"/>
      <c r="G90" s="4"/>
      <c r="H90" s="5"/>
      <c r="I90" s="145"/>
      <c r="J90" s="4"/>
      <c r="K90" s="5"/>
      <c r="L90" s="146"/>
      <c r="M90" s="4"/>
      <c r="N90" s="5"/>
      <c r="O90" s="116"/>
      <c r="Q90" s="116"/>
      <c r="R90" s="143"/>
      <c r="S90" s="4"/>
      <c r="T90" s="5"/>
      <c r="U90" s="144"/>
      <c r="V90" s="4"/>
      <c r="W90" s="5"/>
      <c r="X90" s="145"/>
      <c r="Y90" s="4"/>
      <c r="Z90" s="5"/>
      <c r="AA90" s="146"/>
      <c r="AB90" s="4"/>
      <c r="AC90" s="5"/>
      <c r="AD90" s="116"/>
      <c r="AF90" s="116"/>
      <c r="AG90" s="143"/>
      <c r="AH90" s="4"/>
      <c r="AI90" s="5"/>
      <c r="AJ90" s="144"/>
      <c r="AK90" s="4"/>
      <c r="AL90" s="5"/>
      <c r="AM90" s="145"/>
      <c r="AN90" s="4"/>
      <c r="AO90" s="5"/>
      <c r="AP90" s="146"/>
      <c r="AQ90" s="4"/>
      <c r="AR90" s="5"/>
      <c r="AS90" s="116"/>
      <c r="AU90" s="116"/>
      <c r="AV90" s="143"/>
      <c r="AW90" s="4"/>
      <c r="AX90" s="5"/>
      <c r="AY90" s="144"/>
      <c r="AZ90" s="4"/>
      <c r="BA90" s="5"/>
      <c r="BB90" s="145"/>
      <c r="BC90" s="4"/>
      <c r="BD90" s="5"/>
      <c r="BE90" s="146"/>
      <c r="BF90" s="4"/>
      <c r="BG90" s="5"/>
      <c r="BH90" s="116"/>
    </row>
    <row r="91">
      <c r="B91" s="116"/>
      <c r="E91" s="37"/>
      <c r="F91" s="36"/>
      <c r="H91" s="37"/>
      <c r="I91" s="36"/>
      <c r="K91" s="37"/>
      <c r="L91" s="36"/>
      <c r="N91" s="37"/>
      <c r="O91" s="116"/>
      <c r="Q91" s="116"/>
      <c r="T91" s="37"/>
      <c r="U91" s="36"/>
      <c r="W91" s="37"/>
      <c r="X91" s="36"/>
      <c r="Z91" s="37"/>
      <c r="AA91" s="36"/>
      <c r="AC91" s="37"/>
      <c r="AD91" s="116"/>
      <c r="AF91" s="116"/>
      <c r="AI91" s="37"/>
      <c r="AJ91" s="36"/>
      <c r="AL91" s="37"/>
      <c r="AM91" s="36"/>
      <c r="AO91" s="37"/>
      <c r="AP91" s="36"/>
      <c r="AR91" s="37"/>
      <c r="AS91" s="116"/>
      <c r="AU91" s="116"/>
      <c r="AX91" s="37"/>
      <c r="AY91" s="36"/>
      <c r="BA91" s="37"/>
      <c r="BB91" s="36"/>
      <c r="BD91" s="37"/>
      <c r="BE91" s="36"/>
      <c r="BG91" s="37"/>
      <c r="BH91" s="116"/>
    </row>
    <row r="92">
      <c r="B92" s="116"/>
      <c r="E92" s="37"/>
      <c r="F92" s="36"/>
      <c r="H92" s="37"/>
      <c r="I92" s="36"/>
      <c r="K92" s="37"/>
      <c r="L92" s="36"/>
      <c r="N92" s="37"/>
      <c r="O92" s="116"/>
      <c r="Q92" s="116"/>
      <c r="T92" s="37"/>
      <c r="U92" s="36"/>
      <c r="W92" s="37"/>
      <c r="X92" s="36"/>
      <c r="Z92" s="37"/>
      <c r="AA92" s="36"/>
      <c r="AC92" s="37"/>
      <c r="AD92" s="116"/>
      <c r="AF92" s="116"/>
      <c r="AI92" s="37"/>
      <c r="AJ92" s="36"/>
      <c r="AL92" s="37"/>
      <c r="AM92" s="36"/>
      <c r="AO92" s="37"/>
      <c r="AP92" s="36"/>
      <c r="AR92" s="37"/>
      <c r="AS92" s="116"/>
      <c r="AU92" s="116"/>
      <c r="AX92" s="37"/>
      <c r="AY92" s="36"/>
      <c r="BA92" s="37"/>
      <c r="BB92" s="36"/>
      <c r="BD92" s="37"/>
      <c r="BE92" s="36"/>
      <c r="BG92" s="37"/>
      <c r="BH92" s="116"/>
    </row>
    <row r="93">
      <c r="B93" s="116"/>
      <c r="C93" s="17"/>
      <c r="D93" s="17"/>
      <c r="E93" s="18"/>
      <c r="F93" s="16"/>
      <c r="G93" s="17"/>
      <c r="H93" s="18"/>
      <c r="I93" s="16"/>
      <c r="J93" s="17"/>
      <c r="K93" s="18"/>
      <c r="L93" s="16"/>
      <c r="M93" s="17"/>
      <c r="N93" s="18"/>
      <c r="O93" s="116"/>
      <c r="Q93" s="116"/>
      <c r="R93" s="17"/>
      <c r="S93" s="17"/>
      <c r="T93" s="18"/>
      <c r="U93" s="16"/>
      <c r="V93" s="17"/>
      <c r="W93" s="18"/>
      <c r="X93" s="16"/>
      <c r="Y93" s="17"/>
      <c r="Z93" s="18"/>
      <c r="AA93" s="16"/>
      <c r="AB93" s="17"/>
      <c r="AC93" s="18"/>
      <c r="AD93" s="116"/>
      <c r="AF93" s="116"/>
      <c r="AG93" s="17"/>
      <c r="AH93" s="17"/>
      <c r="AI93" s="18"/>
      <c r="AJ93" s="16"/>
      <c r="AK93" s="17"/>
      <c r="AL93" s="18"/>
      <c r="AM93" s="16"/>
      <c r="AN93" s="17"/>
      <c r="AO93" s="18"/>
      <c r="AP93" s="16"/>
      <c r="AQ93" s="17"/>
      <c r="AR93" s="18"/>
      <c r="AS93" s="116"/>
      <c r="AU93" s="116"/>
      <c r="AV93" s="17"/>
      <c r="AW93" s="17"/>
      <c r="AX93" s="18"/>
      <c r="AY93" s="16"/>
      <c r="AZ93" s="17"/>
      <c r="BA93" s="18"/>
      <c r="BB93" s="16"/>
      <c r="BC93" s="17"/>
      <c r="BD93" s="18"/>
      <c r="BE93" s="16"/>
      <c r="BF93" s="17"/>
      <c r="BG93" s="18"/>
      <c r="BH93" s="116"/>
    </row>
    <row r="94">
      <c r="B94" s="116"/>
      <c r="C94" s="147" t="s">
        <v>20</v>
      </c>
      <c r="D94" s="10"/>
      <c r="E94" s="11"/>
      <c r="F94" s="21" t="s">
        <v>22</v>
      </c>
      <c r="G94" s="10"/>
      <c r="H94" s="11"/>
      <c r="I94" s="148" t="s">
        <v>18</v>
      </c>
      <c r="J94" s="4"/>
      <c r="K94" s="5"/>
      <c r="L94" s="149" t="s">
        <v>195</v>
      </c>
      <c r="M94" s="4"/>
      <c r="N94" s="5"/>
      <c r="O94" s="116"/>
      <c r="Q94" s="116"/>
      <c r="R94" s="147" t="s">
        <v>20</v>
      </c>
      <c r="S94" s="10"/>
      <c r="T94" s="11"/>
      <c r="U94" s="21" t="s">
        <v>22</v>
      </c>
      <c r="V94" s="10"/>
      <c r="W94" s="11"/>
      <c r="X94" s="148" t="s">
        <v>18</v>
      </c>
      <c r="Y94" s="4"/>
      <c r="Z94" s="5"/>
      <c r="AA94" s="149" t="s">
        <v>195</v>
      </c>
      <c r="AB94" s="4"/>
      <c r="AC94" s="5"/>
      <c r="AD94" s="116"/>
      <c r="AF94" s="116"/>
      <c r="AG94" s="147" t="s">
        <v>20</v>
      </c>
      <c r="AH94" s="10"/>
      <c r="AI94" s="11"/>
      <c r="AJ94" s="21" t="s">
        <v>22</v>
      </c>
      <c r="AK94" s="10"/>
      <c r="AL94" s="11"/>
      <c r="AM94" s="148" t="s">
        <v>18</v>
      </c>
      <c r="AN94" s="4"/>
      <c r="AO94" s="5"/>
      <c r="AP94" s="149" t="s">
        <v>195</v>
      </c>
      <c r="AQ94" s="4"/>
      <c r="AR94" s="5"/>
      <c r="AS94" s="116"/>
      <c r="AU94" s="116"/>
      <c r="AV94" s="147" t="s">
        <v>20</v>
      </c>
      <c r="AW94" s="10"/>
      <c r="AX94" s="11"/>
      <c r="AY94" s="21" t="s">
        <v>22</v>
      </c>
      <c r="AZ94" s="10"/>
      <c r="BA94" s="11"/>
      <c r="BB94" s="148" t="s">
        <v>18</v>
      </c>
      <c r="BC94" s="4"/>
      <c r="BD94" s="5"/>
      <c r="BE94" s="149" t="s">
        <v>195</v>
      </c>
      <c r="BF94" s="4"/>
      <c r="BG94" s="5"/>
      <c r="BH94" s="116"/>
    </row>
    <row r="95">
      <c r="B95" s="81"/>
      <c r="C95" s="150" t="s">
        <v>14</v>
      </c>
      <c r="I95" s="16"/>
      <c r="J95" s="17"/>
      <c r="K95" s="18"/>
      <c r="L95" s="16"/>
      <c r="M95" s="17"/>
      <c r="N95" s="18"/>
      <c r="O95" s="81"/>
      <c r="Q95" s="81"/>
      <c r="R95" s="150" t="s">
        <v>14</v>
      </c>
      <c r="X95" s="16"/>
      <c r="Y95" s="17"/>
      <c r="Z95" s="18"/>
      <c r="AA95" s="16"/>
      <c r="AB95" s="17"/>
      <c r="AC95" s="18"/>
      <c r="AD95" s="81"/>
      <c r="AF95" s="81"/>
      <c r="AG95" s="150" t="s">
        <v>14</v>
      </c>
      <c r="AM95" s="16"/>
      <c r="AN95" s="17"/>
      <c r="AO95" s="18"/>
      <c r="AP95" s="16"/>
      <c r="AQ95" s="17"/>
      <c r="AR95" s="18"/>
      <c r="AS95" s="81"/>
      <c r="AU95" s="81"/>
      <c r="AV95" s="150" t="s">
        <v>14</v>
      </c>
      <c r="BB95" s="16"/>
      <c r="BC95" s="17"/>
      <c r="BD95" s="18"/>
      <c r="BE95" s="16"/>
      <c r="BF95" s="17"/>
      <c r="BG95" s="18"/>
      <c r="BH95" s="81"/>
    </row>
    <row r="96">
      <c r="B96" s="115"/>
      <c r="C96" s="151" t="s">
        <v>13</v>
      </c>
      <c r="D96" s="10"/>
      <c r="E96" s="10"/>
      <c r="F96" s="10"/>
      <c r="G96" s="10"/>
      <c r="H96" s="10"/>
      <c r="I96" s="10"/>
      <c r="J96" s="10"/>
      <c r="K96" s="10"/>
      <c r="L96" s="10"/>
      <c r="M96" s="10"/>
      <c r="N96" s="11"/>
      <c r="O96" s="115"/>
      <c r="Q96" s="115"/>
      <c r="R96" s="151" t="s">
        <v>13</v>
      </c>
      <c r="S96" s="10"/>
      <c r="T96" s="10"/>
      <c r="U96" s="10"/>
      <c r="V96" s="10"/>
      <c r="W96" s="10"/>
      <c r="X96" s="10"/>
      <c r="Y96" s="10"/>
      <c r="Z96" s="10"/>
      <c r="AA96" s="10"/>
      <c r="AB96" s="10"/>
      <c r="AC96" s="11"/>
      <c r="AD96" s="115"/>
      <c r="AF96" s="115"/>
      <c r="AG96" s="151" t="s">
        <v>13</v>
      </c>
      <c r="AH96" s="10"/>
      <c r="AI96" s="10"/>
      <c r="AJ96" s="10"/>
      <c r="AK96" s="10"/>
      <c r="AL96" s="10"/>
      <c r="AM96" s="10"/>
      <c r="AN96" s="10"/>
      <c r="AO96" s="10"/>
      <c r="AP96" s="10"/>
      <c r="AQ96" s="10"/>
      <c r="AR96" s="11"/>
      <c r="AS96" s="115"/>
      <c r="AU96" s="115"/>
      <c r="AV96" s="151" t="s">
        <v>13</v>
      </c>
      <c r="AW96" s="10"/>
      <c r="AX96" s="10"/>
      <c r="AY96" s="10"/>
      <c r="AZ96" s="10"/>
      <c r="BA96" s="10"/>
      <c r="BB96" s="10"/>
      <c r="BC96" s="10"/>
      <c r="BD96" s="10"/>
      <c r="BE96" s="10"/>
      <c r="BF96" s="10"/>
      <c r="BG96" s="11"/>
      <c r="BH96" s="115"/>
    </row>
    <row r="97">
      <c r="B97" s="116"/>
      <c r="C97" s="48" t="s">
        <v>62</v>
      </c>
      <c r="D97" s="10"/>
      <c r="E97" s="10"/>
      <c r="F97" s="11"/>
      <c r="G97" s="48" t="s">
        <v>38</v>
      </c>
      <c r="H97" s="10"/>
      <c r="I97" s="10"/>
      <c r="J97" s="11"/>
      <c r="K97" s="152" t="s">
        <v>196</v>
      </c>
      <c r="L97" s="4"/>
      <c r="M97" s="4"/>
      <c r="N97" s="5"/>
      <c r="O97" s="116"/>
      <c r="Q97" s="116"/>
      <c r="R97" s="48" t="s">
        <v>62</v>
      </c>
      <c r="S97" s="10"/>
      <c r="T97" s="10"/>
      <c r="U97" s="11"/>
      <c r="V97" s="48" t="s">
        <v>38</v>
      </c>
      <c r="W97" s="10"/>
      <c r="X97" s="10"/>
      <c r="Y97" s="11"/>
      <c r="Z97" s="152" t="s">
        <v>196</v>
      </c>
      <c r="AA97" s="4"/>
      <c r="AB97" s="4"/>
      <c r="AC97" s="5"/>
      <c r="AD97" s="116"/>
      <c r="AF97" s="116"/>
      <c r="AG97" s="48" t="s">
        <v>62</v>
      </c>
      <c r="AH97" s="10"/>
      <c r="AI97" s="10"/>
      <c r="AJ97" s="11"/>
      <c r="AK97" s="48" t="s">
        <v>38</v>
      </c>
      <c r="AL97" s="10"/>
      <c r="AM97" s="10"/>
      <c r="AN97" s="11"/>
      <c r="AO97" s="152" t="s">
        <v>196</v>
      </c>
      <c r="AP97" s="4"/>
      <c r="AQ97" s="4"/>
      <c r="AR97" s="5"/>
      <c r="AS97" s="116"/>
      <c r="AU97" s="116"/>
      <c r="AV97" s="48" t="s">
        <v>62</v>
      </c>
      <c r="AW97" s="10"/>
      <c r="AX97" s="10"/>
      <c r="AY97" s="11"/>
      <c r="AZ97" s="48" t="s">
        <v>38</v>
      </c>
      <c r="BA97" s="10"/>
      <c r="BB97" s="10"/>
      <c r="BC97" s="11"/>
      <c r="BD97" s="152" t="s">
        <v>196</v>
      </c>
      <c r="BE97" s="4"/>
      <c r="BF97" s="4"/>
      <c r="BG97" s="5"/>
      <c r="BH97" s="116"/>
    </row>
    <row r="98">
      <c r="B98" s="116"/>
      <c r="C98" s="153" t="s">
        <v>197</v>
      </c>
      <c r="D98" s="10"/>
      <c r="E98" s="10"/>
      <c r="F98" s="11"/>
      <c r="G98" s="12"/>
      <c r="H98" s="10"/>
      <c r="I98" s="10"/>
      <c r="J98" s="11"/>
      <c r="K98" s="154">
        <f t="shared" ref="K98:K103" si="9">IF(G98&gt;=10,ROUNDDOWN((G98-10)/2,0),ROUNDUP((G98-10)/2,0))</f>
        <v>-5</v>
      </c>
      <c r="L98" s="10"/>
      <c r="M98" s="10"/>
      <c r="N98" s="11"/>
      <c r="O98" s="116"/>
      <c r="Q98" s="116"/>
      <c r="R98" s="153" t="s">
        <v>197</v>
      </c>
      <c r="S98" s="10"/>
      <c r="T98" s="10"/>
      <c r="U98" s="11"/>
      <c r="V98" s="12"/>
      <c r="W98" s="10"/>
      <c r="X98" s="10"/>
      <c r="Y98" s="11"/>
      <c r="Z98" s="154">
        <f t="shared" ref="Z98:Z103" si="10">IF(V98&gt;=10,ROUNDDOWN((V98-10)/2,0),ROUNDUP((V98-10)/2,0))</f>
        <v>-5</v>
      </c>
      <c r="AA98" s="10"/>
      <c r="AB98" s="10"/>
      <c r="AC98" s="11"/>
      <c r="AD98" s="116"/>
      <c r="AF98" s="116"/>
      <c r="AG98" s="153" t="s">
        <v>197</v>
      </c>
      <c r="AH98" s="10"/>
      <c r="AI98" s="10"/>
      <c r="AJ98" s="11"/>
      <c r="AK98" s="12"/>
      <c r="AL98" s="10"/>
      <c r="AM98" s="10"/>
      <c r="AN98" s="11"/>
      <c r="AO98" s="154">
        <f t="shared" ref="AO98:AO103" si="11">IF(AK98&gt;=10,ROUNDDOWN((AK98-10)/2,0),ROUNDUP((AK98-10)/2,0))</f>
        <v>-5</v>
      </c>
      <c r="AP98" s="10"/>
      <c r="AQ98" s="10"/>
      <c r="AR98" s="11"/>
      <c r="AS98" s="116"/>
      <c r="AU98" s="116"/>
      <c r="AV98" s="153" t="s">
        <v>197</v>
      </c>
      <c r="AW98" s="10"/>
      <c r="AX98" s="10"/>
      <c r="AY98" s="11"/>
      <c r="AZ98" s="12"/>
      <c r="BA98" s="10"/>
      <c r="BB98" s="10"/>
      <c r="BC98" s="11"/>
      <c r="BD98" s="154">
        <f t="shared" ref="BD98:BD103" si="12">IF(AZ98&gt;=10,ROUNDDOWN((AZ98-10)/2,0),ROUNDUP((AZ98-10)/2,0))</f>
        <v>-5</v>
      </c>
      <c r="BE98" s="10"/>
      <c r="BF98" s="10"/>
      <c r="BG98" s="11"/>
      <c r="BH98" s="116"/>
    </row>
    <row r="99">
      <c r="B99" s="116"/>
      <c r="C99" s="153" t="s">
        <v>41</v>
      </c>
      <c r="D99" s="10"/>
      <c r="E99" s="10"/>
      <c r="F99" s="11"/>
      <c r="G99" s="12"/>
      <c r="H99" s="10"/>
      <c r="I99" s="10"/>
      <c r="J99" s="11"/>
      <c r="K99" s="154">
        <f t="shared" si="9"/>
        <v>-5</v>
      </c>
      <c r="L99" s="10"/>
      <c r="M99" s="10"/>
      <c r="N99" s="11"/>
      <c r="O99" s="116"/>
      <c r="Q99" s="116"/>
      <c r="R99" s="153" t="s">
        <v>41</v>
      </c>
      <c r="S99" s="10"/>
      <c r="T99" s="10"/>
      <c r="U99" s="11"/>
      <c r="V99" s="12"/>
      <c r="W99" s="10"/>
      <c r="X99" s="10"/>
      <c r="Y99" s="11"/>
      <c r="Z99" s="154">
        <f t="shared" si="10"/>
        <v>-5</v>
      </c>
      <c r="AA99" s="10"/>
      <c r="AB99" s="10"/>
      <c r="AC99" s="11"/>
      <c r="AD99" s="116"/>
      <c r="AF99" s="116"/>
      <c r="AG99" s="153" t="s">
        <v>41</v>
      </c>
      <c r="AH99" s="10"/>
      <c r="AI99" s="10"/>
      <c r="AJ99" s="11"/>
      <c r="AK99" s="12"/>
      <c r="AL99" s="10"/>
      <c r="AM99" s="10"/>
      <c r="AN99" s="11"/>
      <c r="AO99" s="154">
        <f t="shared" si="11"/>
        <v>-5</v>
      </c>
      <c r="AP99" s="10"/>
      <c r="AQ99" s="10"/>
      <c r="AR99" s="11"/>
      <c r="AS99" s="116"/>
      <c r="AU99" s="116"/>
      <c r="AV99" s="153" t="s">
        <v>41</v>
      </c>
      <c r="AW99" s="10"/>
      <c r="AX99" s="10"/>
      <c r="AY99" s="11"/>
      <c r="AZ99" s="12"/>
      <c r="BA99" s="10"/>
      <c r="BB99" s="10"/>
      <c r="BC99" s="11"/>
      <c r="BD99" s="154">
        <f t="shared" si="12"/>
        <v>-5</v>
      </c>
      <c r="BE99" s="10"/>
      <c r="BF99" s="10"/>
      <c r="BG99" s="11"/>
      <c r="BH99" s="116"/>
    </row>
    <row r="100">
      <c r="B100" s="116"/>
      <c r="C100" s="153" t="s">
        <v>198</v>
      </c>
      <c r="D100" s="10"/>
      <c r="E100" s="10"/>
      <c r="F100" s="11"/>
      <c r="G100" s="108"/>
      <c r="H100" s="10"/>
      <c r="I100" s="10"/>
      <c r="J100" s="11"/>
      <c r="K100" s="154">
        <f t="shared" si="9"/>
        <v>-5</v>
      </c>
      <c r="L100" s="10"/>
      <c r="M100" s="10"/>
      <c r="N100" s="11"/>
      <c r="O100" s="116"/>
      <c r="Q100" s="116"/>
      <c r="R100" s="153" t="s">
        <v>198</v>
      </c>
      <c r="S100" s="10"/>
      <c r="T100" s="10"/>
      <c r="U100" s="11"/>
      <c r="V100" s="108"/>
      <c r="W100" s="10"/>
      <c r="X100" s="10"/>
      <c r="Y100" s="11"/>
      <c r="Z100" s="154">
        <f t="shared" si="10"/>
        <v>-5</v>
      </c>
      <c r="AA100" s="10"/>
      <c r="AB100" s="10"/>
      <c r="AC100" s="11"/>
      <c r="AD100" s="116"/>
      <c r="AF100" s="116"/>
      <c r="AG100" s="153" t="s">
        <v>198</v>
      </c>
      <c r="AH100" s="10"/>
      <c r="AI100" s="10"/>
      <c r="AJ100" s="11"/>
      <c r="AK100" s="108"/>
      <c r="AL100" s="10"/>
      <c r="AM100" s="10"/>
      <c r="AN100" s="11"/>
      <c r="AO100" s="154">
        <f t="shared" si="11"/>
        <v>-5</v>
      </c>
      <c r="AP100" s="10"/>
      <c r="AQ100" s="10"/>
      <c r="AR100" s="11"/>
      <c r="AS100" s="116"/>
      <c r="AU100" s="116"/>
      <c r="AV100" s="153" t="s">
        <v>198</v>
      </c>
      <c r="AW100" s="10"/>
      <c r="AX100" s="10"/>
      <c r="AY100" s="11"/>
      <c r="AZ100" s="12"/>
      <c r="BA100" s="10"/>
      <c r="BB100" s="10"/>
      <c r="BC100" s="11"/>
      <c r="BD100" s="154">
        <f t="shared" si="12"/>
        <v>-5</v>
      </c>
      <c r="BE100" s="10"/>
      <c r="BF100" s="10"/>
      <c r="BG100" s="11"/>
      <c r="BH100" s="116"/>
    </row>
    <row r="101">
      <c r="B101" s="116"/>
      <c r="C101" s="153" t="s">
        <v>199</v>
      </c>
      <c r="D101" s="10"/>
      <c r="E101" s="10"/>
      <c r="F101" s="11"/>
      <c r="G101" s="108"/>
      <c r="H101" s="10"/>
      <c r="I101" s="10"/>
      <c r="J101" s="11"/>
      <c r="K101" s="154">
        <f t="shared" si="9"/>
        <v>-5</v>
      </c>
      <c r="L101" s="10"/>
      <c r="M101" s="10"/>
      <c r="N101" s="11"/>
      <c r="O101" s="116"/>
      <c r="Q101" s="116"/>
      <c r="R101" s="153" t="s">
        <v>199</v>
      </c>
      <c r="S101" s="10"/>
      <c r="T101" s="10"/>
      <c r="U101" s="11"/>
      <c r="V101" s="108"/>
      <c r="W101" s="10"/>
      <c r="X101" s="10"/>
      <c r="Y101" s="11"/>
      <c r="Z101" s="154">
        <f t="shared" si="10"/>
        <v>-5</v>
      </c>
      <c r="AA101" s="10"/>
      <c r="AB101" s="10"/>
      <c r="AC101" s="11"/>
      <c r="AD101" s="116"/>
      <c r="AF101" s="116"/>
      <c r="AG101" s="153" t="s">
        <v>199</v>
      </c>
      <c r="AH101" s="10"/>
      <c r="AI101" s="10"/>
      <c r="AJ101" s="11"/>
      <c r="AK101" s="108"/>
      <c r="AL101" s="10"/>
      <c r="AM101" s="10"/>
      <c r="AN101" s="11"/>
      <c r="AO101" s="154">
        <f t="shared" si="11"/>
        <v>-5</v>
      </c>
      <c r="AP101" s="10"/>
      <c r="AQ101" s="10"/>
      <c r="AR101" s="11"/>
      <c r="AS101" s="116"/>
      <c r="AU101" s="116"/>
      <c r="AV101" s="153" t="s">
        <v>199</v>
      </c>
      <c r="AW101" s="10"/>
      <c r="AX101" s="10"/>
      <c r="AY101" s="11"/>
      <c r="AZ101" s="108"/>
      <c r="BA101" s="10"/>
      <c r="BB101" s="10"/>
      <c r="BC101" s="11"/>
      <c r="BD101" s="154">
        <f t="shared" si="12"/>
        <v>-5</v>
      </c>
      <c r="BE101" s="10"/>
      <c r="BF101" s="10"/>
      <c r="BG101" s="11"/>
      <c r="BH101" s="116"/>
    </row>
    <row r="102">
      <c r="B102" s="116"/>
      <c r="C102" s="153" t="s">
        <v>200</v>
      </c>
      <c r="D102" s="10"/>
      <c r="E102" s="10"/>
      <c r="F102" s="11"/>
      <c r="G102" s="108"/>
      <c r="H102" s="10"/>
      <c r="I102" s="10"/>
      <c r="J102" s="11"/>
      <c r="K102" s="154">
        <f t="shared" si="9"/>
        <v>-5</v>
      </c>
      <c r="L102" s="10"/>
      <c r="M102" s="10"/>
      <c r="N102" s="11"/>
      <c r="O102" s="116"/>
      <c r="Q102" s="116"/>
      <c r="R102" s="153" t="s">
        <v>200</v>
      </c>
      <c r="S102" s="10"/>
      <c r="T102" s="10"/>
      <c r="U102" s="11"/>
      <c r="V102" s="108"/>
      <c r="W102" s="10"/>
      <c r="X102" s="10"/>
      <c r="Y102" s="11"/>
      <c r="Z102" s="154">
        <f t="shared" si="10"/>
        <v>-5</v>
      </c>
      <c r="AA102" s="10"/>
      <c r="AB102" s="10"/>
      <c r="AC102" s="11"/>
      <c r="AD102" s="116"/>
      <c r="AF102" s="116"/>
      <c r="AG102" s="153" t="s">
        <v>200</v>
      </c>
      <c r="AH102" s="10"/>
      <c r="AI102" s="10"/>
      <c r="AJ102" s="11"/>
      <c r="AK102" s="108"/>
      <c r="AL102" s="10"/>
      <c r="AM102" s="10"/>
      <c r="AN102" s="11"/>
      <c r="AO102" s="154">
        <f t="shared" si="11"/>
        <v>-5</v>
      </c>
      <c r="AP102" s="10"/>
      <c r="AQ102" s="10"/>
      <c r="AR102" s="11"/>
      <c r="AS102" s="116"/>
      <c r="AU102" s="116"/>
      <c r="AV102" s="153" t="s">
        <v>200</v>
      </c>
      <c r="AW102" s="10"/>
      <c r="AX102" s="10"/>
      <c r="AY102" s="11"/>
      <c r="AZ102" s="108"/>
      <c r="BA102" s="10"/>
      <c r="BB102" s="10"/>
      <c r="BC102" s="11"/>
      <c r="BD102" s="154">
        <f t="shared" si="12"/>
        <v>-5</v>
      </c>
      <c r="BE102" s="10"/>
      <c r="BF102" s="10"/>
      <c r="BG102" s="11"/>
      <c r="BH102" s="116"/>
    </row>
    <row r="103">
      <c r="B103" s="116"/>
      <c r="C103" s="155" t="s">
        <v>201</v>
      </c>
      <c r="D103" s="10"/>
      <c r="E103" s="10"/>
      <c r="F103" s="11"/>
      <c r="G103" s="108"/>
      <c r="H103" s="10"/>
      <c r="I103" s="10"/>
      <c r="J103" s="11"/>
      <c r="K103" s="154">
        <f t="shared" si="9"/>
        <v>-5</v>
      </c>
      <c r="L103" s="10"/>
      <c r="M103" s="10"/>
      <c r="N103" s="11"/>
      <c r="O103" s="116"/>
      <c r="Q103" s="116"/>
      <c r="R103" s="155" t="s">
        <v>201</v>
      </c>
      <c r="S103" s="10"/>
      <c r="T103" s="10"/>
      <c r="U103" s="11"/>
      <c r="V103" s="108"/>
      <c r="W103" s="10"/>
      <c r="X103" s="10"/>
      <c r="Y103" s="11"/>
      <c r="Z103" s="154">
        <f t="shared" si="10"/>
        <v>-5</v>
      </c>
      <c r="AA103" s="10"/>
      <c r="AB103" s="10"/>
      <c r="AC103" s="11"/>
      <c r="AD103" s="116"/>
      <c r="AF103" s="116"/>
      <c r="AG103" s="155" t="s">
        <v>201</v>
      </c>
      <c r="AH103" s="10"/>
      <c r="AI103" s="10"/>
      <c r="AJ103" s="11"/>
      <c r="AK103" s="108"/>
      <c r="AL103" s="10"/>
      <c r="AM103" s="10"/>
      <c r="AN103" s="11"/>
      <c r="AO103" s="154">
        <f t="shared" si="11"/>
        <v>-5</v>
      </c>
      <c r="AP103" s="10"/>
      <c r="AQ103" s="10"/>
      <c r="AR103" s="11"/>
      <c r="AS103" s="116"/>
      <c r="AU103" s="116"/>
      <c r="AV103" s="155" t="s">
        <v>201</v>
      </c>
      <c r="AW103" s="10"/>
      <c r="AX103" s="10"/>
      <c r="AY103" s="11"/>
      <c r="AZ103" s="108"/>
      <c r="BA103" s="10"/>
      <c r="BB103" s="10"/>
      <c r="BC103" s="11"/>
      <c r="BD103" s="154">
        <f t="shared" si="12"/>
        <v>-5</v>
      </c>
      <c r="BE103" s="10"/>
      <c r="BF103" s="10"/>
      <c r="BG103" s="11"/>
      <c r="BH103" s="116"/>
    </row>
    <row r="104">
      <c r="B104" s="116"/>
      <c r="C104" s="156" t="s">
        <v>202</v>
      </c>
      <c r="D104" s="10"/>
      <c r="E104" s="10"/>
      <c r="F104" s="10"/>
      <c r="G104" s="10"/>
      <c r="H104" s="10"/>
      <c r="I104" s="10"/>
      <c r="J104" s="10"/>
      <c r="K104" s="10"/>
      <c r="L104" s="10"/>
      <c r="M104" s="10"/>
      <c r="N104" s="11"/>
      <c r="O104" s="116"/>
      <c r="Q104" s="116"/>
      <c r="R104" s="156" t="s">
        <v>202</v>
      </c>
      <c r="S104" s="10"/>
      <c r="T104" s="10"/>
      <c r="U104" s="10"/>
      <c r="V104" s="10"/>
      <c r="W104" s="10"/>
      <c r="X104" s="10"/>
      <c r="Y104" s="10"/>
      <c r="Z104" s="10"/>
      <c r="AA104" s="10"/>
      <c r="AB104" s="10"/>
      <c r="AC104" s="11"/>
      <c r="AD104" s="116"/>
      <c r="AF104" s="116"/>
      <c r="AG104" s="156" t="s">
        <v>202</v>
      </c>
      <c r="AH104" s="10"/>
      <c r="AI104" s="10"/>
      <c r="AJ104" s="10"/>
      <c r="AK104" s="10"/>
      <c r="AL104" s="10"/>
      <c r="AM104" s="10"/>
      <c r="AN104" s="10"/>
      <c r="AO104" s="10"/>
      <c r="AP104" s="10"/>
      <c r="AQ104" s="10"/>
      <c r="AR104" s="11"/>
      <c r="AS104" s="116"/>
      <c r="AU104" s="116"/>
      <c r="AV104" s="156" t="s">
        <v>202</v>
      </c>
      <c r="AW104" s="10"/>
      <c r="AX104" s="10"/>
      <c r="AY104" s="10"/>
      <c r="AZ104" s="10"/>
      <c r="BA104" s="10"/>
      <c r="BB104" s="10"/>
      <c r="BC104" s="10"/>
      <c r="BD104" s="10"/>
      <c r="BE104" s="10"/>
      <c r="BF104" s="10"/>
      <c r="BG104" s="11"/>
      <c r="BH104" s="116"/>
    </row>
    <row r="105">
      <c r="B105" s="116"/>
      <c r="C105" s="157"/>
      <c r="D105" s="10"/>
      <c r="E105" s="10"/>
      <c r="F105" s="10"/>
      <c r="G105" s="10"/>
      <c r="H105" s="11"/>
      <c r="I105" s="157"/>
      <c r="J105" s="10"/>
      <c r="K105" s="10"/>
      <c r="L105" s="10"/>
      <c r="M105" s="10"/>
      <c r="N105" s="11"/>
      <c r="O105" s="116"/>
      <c r="Q105" s="116"/>
      <c r="R105" s="157"/>
      <c r="S105" s="10"/>
      <c r="T105" s="10"/>
      <c r="U105" s="10"/>
      <c r="V105" s="10"/>
      <c r="W105" s="11"/>
      <c r="X105" s="157"/>
      <c r="Y105" s="10"/>
      <c r="Z105" s="10"/>
      <c r="AA105" s="10"/>
      <c r="AB105" s="10"/>
      <c r="AC105" s="11"/>
      <c r="AD105" s="116"/>
      <c r="AF105" s="116"/>
      <c r="AG105" s="157"/>
      <c r="AH105" s="10"/>
      <c r="AI105" s="10"/>
      <c r="AJ105" s="10"/>
      <c r="AK105" s="10"/>
      <c r="AL105" s="11"/>
      <c r="AM105" s="157"/>
      <c r="AN105" s="10"/>
      <c r="AO105" s="10"/>
      <c r="AP105" s="10"/>
      <c r="AQ105" s="10"/>
      <c r="AR105" s="11"/>
      <c r="AS105" s="116"/>
      <c r="AU105" s="116"/>
      <c r="AV105" s="157"/>
      <c r="AW105" s="10"/>
      <c r="AX105" s="10"/>
      <c r="AY105" s="10"/>
      <c r="AZ105" s="10"/>
      <c r="BA105" s="11"/>
      <c r="BB105" s="157"/>
      <c r="BC105" s="10"/>
      <c r="BD105" s="10"/>
      <c r="BE105" s="10"/>
      <c r="BF105" s="10"/>
      <c r="BG105" s="11"/>
      <c r="BH105" s="116"/>
    </row>
    <row r="106">
      <c r="B106" s="116"/>
      <c r="C106" s="157"/>
      <c r="D106" s="10"/>
      <c r="E106" s="10"/>
      <c r="F106" s="10"/>
      <c r="G106" s="10"/>
      <c r="H106" s="11"/>
      <c r="I106" s="157"/>
      <c r="J106" s="10"/>
      <c r="K106" s="10"/>
      <c r="L106" s="10"/>
      <c r="M106" s="10"/>
      <c r="N106" s="11"/>
      <c r="O106" s="116"/>
      <c r="Q106" s="116"/>
      <c r="R106" s="157"/>
      <c r="S106" s="10"/>
      <c r="T106" s="10"/>
      <c r="U106" s="10"/>
      <c r="V106" s="10"/>
      <c r="W106" s="11"/>
      <c r="X106" s="157"/>
      <c r="Y106" s="10"/>
      <c r="Z106" s="10"/>
      <c r="AA106" s="10"/>
      <c r="AB106" s="10"/>
      <c r="AC106" s="11"/>
      <c r="AD106" s="116"/>
      <c r="AF106" s="116"/>
      <c r="AG106" s="157"/>
      <c r="AH106" s="10"/>
      <c r="AI106" s="10"/>
      <c r="AJ106" s="10"/>
      <c r="AK106" s="10"/>
      <c r="AL106" s="11"/>
      <c r="AM106" s="157"/>
      <c r="AN106" s="10"/>
      <c r="AO106" s="10"/>
      <c r="AP106" s="10"/>
      <c r="AQ106" s="10"/>
      <c r="AR106" s="11"/>
      <c r="AS106" s="116"/>
      <c r="AU106" s="116"/>
      <c r="AV106" s="157"/>
      <c r="AW106" s="10"/>
      <c r="AX106" s="10"/>
      <c r="AY106" s="10"/>
      <c r="AZ106" s="10"/>
      <c r="BA106" s="11"/>
      <c r="BB106" s="157"/>
      <c r="BC106" s="10"/>
      <c r="BD106" s="10"/>
      <c r="BE106" s="10"/>
      <c r="BF106" s="10"/>
      <c r="BG106" s="11"/>
      <c r="BH106" s="116"/>
    </row>
    <row r="107">
      <c r="B107" s="116"/>
      <c r="C107" s="157"/>
      <c r="D107" s="10"/>
      <c r="E107" s="10"/>
      <c r="F107" s="10"/>
      <c r="G107" s="10"/>
      <c r="H107" s="11"/>
      <c r="I107" s="157"/>
      <c r="J107" s="10"/>
      <c r="K107" s="10"/>
      <c r="L107" s="10"/>
      <c r="M107" s="10"/>
      <c r="N107" s="11"/>
      <c r="O107" s="116"/>
      <c r="Q107" s="116"/>
      <c r="R107" s="157"/>
      <c r="S107" s="10"/>
      <c r="T107" s="10"/>
      <c r="U107" s="10"/>
      <c r="V107" s="10"/>
      <c r="W107" s="11"/>
      <c r="X107" s="157"/>
      <c r="Y107" s="10"/>
      <c r="Z107" s="10"/>
      <c r="AA107" s="10"/>
      <c r="AB107" s="10"/>
      <c r="AC107" s="11"/>
      <c r="AD107" s="116"/>
      <c r="AF107" s="116"/>
      <c r="AG107" s="157"/>
      <c r="AH107" s="10"/>
      <c r="AI107" s="10"/>
      <c r="AJ107" s="10"/>
      <c r="AK107" s="10"/>
      <c r="AL107" s="11"/>
      <c r="AM107" s="157"/>
      <c r="AN107" s="10"/>
      <c r="AO107" s="10"/>
      <c r="AP107" s="10"/>
      <c r="AQ107" s="10"/>
      <c r="AR107" s="11"/>
      <c r="AS107" s="116"/>
      <c r="AU107" s="116"/>
      <c r="AV107" s="157"/>
      <c r="AW107" s="10"/>
      <c r="AX107" s="10"/>
      <c r="AY107" s="10"/>
      <c r="AZ107" s="10"/>
      <c r="BA107" s="11"/>
      <c r="BB107" s="157"/>
      <c r="BC107" s="10"/>
      <c r="BD107" s="10"/>
      <c r="BE107" s="10"/>
      <c r="BF107" s="10"/>
      <c r="BG107" s="11"/>
      <c r="BH107" s="116"/>
    </row>
    <row r="108">
      <c r="B108" s="116"/>
      <c r="C108" s="157"/>
      <c r="D108" s="10"/>
      <c r="E108" s="10"/>
      <c r="F108" s="10"/>
      <c r="G108" s="10"/>
      <c r="H108" s="11"/>
      <c r="I108" s="157"/>
      <c r="J108" s="10"/>
      <c r="K108" s="10"/>
      <c r="L108" s="10"/>
      <c r="M108" s="10"/>
      <c r="N108" s="11"/>
      <c r="O108" s="116"/>
      <c r="Q108" s="116"/>
      <c r="R108" s="157"/>
      <c r="S108" s="10"/>
      <c r="T108" s="10"/>
      <c r="U108" s="10"/>
      <c r="V108" s="10"/>
      <c r="W108" s="11"/>
      <c r="X108" s="157"/>
      <c r="Y108" s="10"/>
      <c r="Z108" s="10"/>
      <c r="AA108" s="10"/>
      <c r="AB108" s="10"/>
      <c r="AC108" s="11"/>
      <c r="AD108" s="116"/>
      <c r="AF108" s="116"/>
      <c r="AG108" s="157"/>
      <c r="AH108" s="10"/>
      <c r="AI108" s="10"/>
      <c r="AJ108" s="10"/>
      <c r="AK108" s="10"/>
      <c r="AL108" s="11"/>
      <c r="AM108" s="157"/>
      <c r="AN108" s="10"/>
      <c r="AO108" s="10"/>
      <c r="AP108" s="10"/>
      <c r="AQ108" s="10"/>
      <c r="AR108" s="11"/>
      <c r="AS108" s="116"/>
      <c r="AU108" s="116"/>
      <c r="AV108" s="157"/>
      <c r="AW108" s="10"/>
      <c r="AX108" s="10"/>
      <c r="AY108" s="10"/>
      <c r="AZ108" s="10"/>
      <c r="BA108" s="11"/>
      <c r="BB108" s="157"/>
      <c r="BC108" s="10"/>
      <c r="BD108" s="10"/>
      <c r="BE108" s="10"/>
      <c r="BF108" s="10"/>
      <c r="BG108" s="11"/>
      <c r="BH108" s="116"/>
    </row>
    <row r="109">
      <c r="B109" s="116"/>
      <c r="C109" s="157"/>
      <c r="D109" s="10"/>
      <c r="E109" s="10"/>
      <c r="F109" s="10"/>
      <c r="G109" s="10"/>
      <c r="H109" s="11"/>
      <c r="I109" s="157"/>
      <c r="J109" s="10"/>
      <c r="K109" s="10"/>
      <c r="L109" s="10"/>
      <c r="M109" s="10"/>
      <c r="N109" s="11"/>
      <c r="O109" s="116"/>
      <c r="Q109" s="116"/>
      <c r="R109" s="157"/>
      <c r="S109" s="10"/>
      <c r="T109" s="10"/>
      <c r="U109" s="10"/>
      <c r="V109" s="10"/>
      <c r="W109" s="11"/>
      <c r="X109" s="157"/>
      <c r="Y109" s="10"/>
      <c r="Z109" s="10"/>
      <c r="AA109" s="10"/>
      <c r="AB109" s="10"/>
      <c r="AC109" s="11"/>
      <c r="AD109" s="116"/>
      <c r="AF109" s="116"/>
      <c r="AG109" s="157"/>
      <c r="AH109" s="10"/>
      <c r="AI109" s="10"/>
      <c r="AJ109" s="10"/>
      <c r="AK109" s="10"/>
      <c r="AL109" s="11"/>
      <c r="AM109" s="157"/>
      <c r="AN109" s="10"/>
      <c r="AO109" s="10"/>
      <c r="AP109" s="10"/>
      <c r="AQ109" s="10"/>
      <c r="AR109" s="11"/>
      <c r="AS109" s="116"/>
      <c r="AU109" s="116"/>
      <c r="AV109" s="157"/>
      <c r="AW109" s="10"/>
      <c r="AX109" s="10"/>
      <c r="AY109" s="10"/>
      <c r="AZ109" s="10"/>
      <c r="BA109" s="11"/>
      <c r="BB109" s="157"/>
      <c r="BC109" s="10"/>
      <c r="BD109" s="10"/>
      <c r="BE109" s="10"/>
      <c r="BF109" s="10"/>
      <c r="BG109" s="11"/>
      <c r="BH109" s="116"/>
    </row>
    <row r="110">
      <c r="B110" s="116"/>
      <c r="C110" s="151" t="s">
        <v>203</v>
      </c>
      <c r="D110" s="10"/>
      <c r="E110" s="10"/>
      <c r="F110" s="10"/>
      <c r="G110" s="10"/>
      <c r="H110" s="10"/>
      <c r="I110" s="10"/>
      <c r="J110" s="10"/>
      <c r="K110" s="10"/>
      <c r="L110" s="10"/>
      <c r="M110" s="10"/>
      <c r="N110" s="11"/>
      <c r="O110" s="116"/>
      <c r="Q110" s="116"/>
      <c r="R110" s="151" t="s">
        <v>203</v>
      </c>
      <c r="S110" s="10"/>
      <c r="T110" s="10"/>
      <c r="U110" s="10"/>
      <c r="V110" s="10"/>
      <c r="W110" s="10"/>
      <c r="X110" s="10"/>
      <c r="Y110" s="10"/>
      <c r="Z110" s="10"/>
      <c r="AA110" s="10"/>
      <c r="AB110" s="10"/>
      <c r="AC110" s="11"/>
      <c r="AD110" s="116"/>
      <c r="AF110" s="116"/>
      <c r="AG110" s="151" t="s">
        <v>203</v>
      </c>
      <c r="AH110" s="10"/>
      <c r="AI110" s="10"/>
      <c r="AJ110" s="10"/>
      <c r="AK110" s="10"/>
      <c r="AL110" s="10"/>
      <c r="AM110" s="10"/>
      <c r="AN110" s="10"/>
      <c r="AO110" s="10"/>
      <c r="AP110" s="10"/>
      <c r="AQ110" s="10"/>
      <c r="AR110" s="11"/>
      <c r="AS110" s="116"/>
      <c r="AU110" s="116"/>
      <c r="AV110" s="151" t="s">
        <v>203</v>
      </c>
      <c r="AW110" s="10"/>
      <c r="AX110" s="10"/>
      <c r="AY110" s="10"/>
      <c r="AZ110" s="10"/>
      <c r="BA110" s="10"/>
      <c r="BB110" s="10"/>
      <c r="BC110" s="10"/>
      <c r="BD110" s="10"/>
      <c r="BE110" s="10"/>
      <c r="BF110" s="10"/>
      <c r="BG110" s="11"/>
      <c r="BH110" s="116"/>
    </row>
    <row r="111">
      <c r="B111" s="116"/>
      <c r="C111" s="48" t="s">
        <v>34</v>
      </c>
      <c r="D111" s="10"/>
      <c r="E111" s="10"/>
      <c r="F111" s="11"/>
      <c r="G111" s="158" t="s">
        <v>62</v>
      </c>
      <c r="H111" s="10"/>
      <c r="I111" s="11"/>
      <c r="J111" s="109" t="s">
        <v>45</v>
      </c>
      <c r="K111" s="11"/>
      <c r="L111" s="48" t="s">
        <v>204</v>
      </c>
      <c r="M111" s="10"/>
      <c r="N111" s="11"/>
      <c r="O111" s="116"/>
      <c r="Q111" s="116"/>
      <c r="R111" s="48" t="s">
        <v>34</v>
      </c>
      <c r="S111" s="10"/>
      <c r="T111" s="10"/>
      <c r="U111" s="11"/>
      <c r="V111" s="158" t="s">
        <v>62</v>
      </c>
      <c r="W111" s="10"/>
      <c r="X111" s="11"/>
      <c r="Y111" s="109" t="s">
        <v>45</v>
      </c>
      <c r="Z111" s="11"/>
      <c r="AA111" s="48" t="s">
        <v>204</v>
      </c>
      <c r="AB111" s="10"/>
      <c r="AC111" s="11"/>
      <c r="AD111" s="116"/>
      <c r="AF111" s="116"/>
      <c r="AG111" s="48" t="s">
        <v>34</v>
      </c>
      <c r="AH111" s="10"/>
      <c r="AI111" s="10"/>
      <c r="AJ111" s="11"/>
      <c r="AK111" s="158" t="s">
        <v>62</v>
      </c>
      <c r="AL111" s="10"/>
      <c r="AM111" s="11"/>
      <c r="AN111" s="109" t="s">
        <v>45</v>
      </c>
      <c r="AO111" s="11"/>
      <c r="AP111" s="48" t="s">
        <v>204</v>
      </c>
      <c r="AQ111" s="10"/>
      <c r="AR111" s="11"/>
      <c r="AS111" s="116"/>
      <c r="AU111" s="116"/>
      <c r="AV111" s="48" t="s">
        <v>34</v>
      </c>
      <c r="AW111" s="10"/>
      <c r="AX111" s="10"/>
      <c r="AY111" s="11"/>
      <c r="AZ111" s="158" t="s">
        <v>62</v>
      </c>
      <c r="BA111" s="10"/>
      <c r="BB111" s="11"/>
      <c r="BC111" s="109" t="s">
        <v>45</v>
      </c>
      <c r="BD111" s="11"/>
      <c r="BE111" s="48" t="s">
        <v>204</v>
      </c>
      <c r="BF111" s="10"/>
      <c r="BG111" s="11"/>
      <c r="BH111" s="116"/>
    </row>
    <row r="112">
      <c r="B112" s="116"/>
      <c r="C112" s="157"/>
      <c r="D112" s="10"/>
      <c r="E112" s="10"/>
      <c r="F112" s="11"/>
      <c r="G112" s="157"/>
      <c r="H112" s="10"/>
      <c r="I112" s="11"/>
      <c r="J112" s="159"/>
      <c r="K112" s="11"/>
      <c r="L112" s="160"/>
      <c r="M112" s="10"/>
      <c r="N112" s="11"/>
      <c r="O112" s="116"/>
      <c r="Q112" s="116"/>
      <c r="R112" s="157"/>
      <c r="S112" s="10"/>
      <c r="T112" s="10"/>
      <c r="U112" s="11"/>
      <c r="V112" s="157"/>
      <c r="W112" s="10"/>
      <c r="X112" s="11"/>
      <c r="Y112" s="159"/>
      <c r="Z112" s="11"/>
      <c r="AA112" s="160"/>
      <c r="AB112" s="10"/>
      <c r="AC112" s="11"/>
      <c r="AD112" s="116"/>
      <c r="AF112" s="116"/>
      <c r="AG112" s="157"/>
      <c r="AH112" s="10"/>
      <c r="AI112" s="10"/>
      <c r="AJ112" s="11"/>
      <c r="AK112" s="157"/>
      <c r="AL112" s="10"/>
      <c r="AM112" s="11"/>
      <c r="AN112" s="159"/>
      <c r="AO112" s="11"/>
      <c r="AP112" s="160"/>
      <c r="AQ112" s="10"/>
      <c r="AR112" s="11"/>
      <c r="AS112" s="116"/>
      <c r="AU112" s="116"/>
      <c r="AV112" s="157"/>
      <c r="AW112" s="10"/>
      <c r="AX112" s="10"/>
      <c r="AY112" s="11"/>
      <c r="AZ112" s="157"/>
      <c r="BA112" s="10"/>
      <c r="BB112" s="11"/>
      <c r="BC112" s="159"/>
      <c r="BD112" s="11"/>
      <c r="BE112" s="160"/>
      <c r="BF112" s="10"/>
      <c r="BG112" s="11"/>
      <c r="BH112" s="116"/>
    </row>
    <row r="113">
      <c r="B113" s="116"/>
      <c r="C113" s="157"/>
      <c r="D113" s="10"/>
      <c r="E113" s="10"/>
      <c r="F113" s="11"/>
      <c r="G113" s="157"/>
      <c r="H113" s="10"/>
      <c r="I113" s="11"/>
      <c r="J113" s="159"/>
      <c r="K113" s="11"/>
      <c r="L113" s="160"/>
      <c r="M113" s="10"/>
      <c r="N113" s="11"/>
      <c r="O113" s="116"/>
      <c r="Q113" s="116"/>
      <c r="R113" s="157"/>
      <c r="S113" s="10"/>
      <c r="T113" s="10"/>
      <c r="U113" s="11"/>
      <c r="V113" s="157"/>
      <c r="W113" s="10"/>
      <c r="X113" s="11"/>
      <c r="Y113" s="159"/>
      <c r="Z113" s="11"/>
      <c r="AA113" s="160"/>
      <c r="AB113" s="10"/>
      <c r="AC113" s="11"/>
      <c r="AD113" s="116"/>
      <c r="AF113" s="116"/>
      <c r="AG113" s="157"/>
      <c r="AH113" s="10"/>
      <c r="AI113" s="10"/>
      <c r="AJ113" s="11"/>
      <c r="AK113" s="157"/>
      <c r="AL113" s="10"/>
      <c r="AM113" s="11"/>
      <c r="AN113" s="159"/>
      <c r="AO113" s="11"/>
      <c r="AP113" s="160"/>
      <c r="AQ113" s="10"/>
      <c r="AR113" s="11"/>
      <c r="AS113" s="116"/>
      <c r="AU113" s="116"/>
      <c r="AV113" s="157"/>
      <c r="AW113" s="10"/>
      <c r="AX113" s="10"/>
      <c r="AY113" s="11"/>
      <c r="AZ113" s="157"/>
      <c r="BA113" s="10"/>
      <c r="BB113" s="11"/>
      <c r="BC113" s="159"/>
      <c r="BD113" s="11"/>
      <c r="BE113" s="160"/>
      <c r="BF113" s="10"/>
      <c r="BG113" s="11"/>
      <c r="BH113" s="116"/>
    </row>
    <row r="114">
      <c r="B114" s="116"/>
      <c r="C114" s="157"/>
      <c r="D114" s="10"/>
      <c r="E114" s="10"/>
      <c r="F114" s="11"/>
      <c r="G114" s="157"/>
      <c r="H114" s="10"/>
      <c r="I114" s="11"/>
      <c r="J114" s="159"/>
      <c r="K114" s="11"/>
      <c r="L114" s="160"/>
      <c r="M114" s="10"/>
      <c r="N114" s="11"/>
      <c r="O114" s="116"/>
      <c r="Q114" s="116"/>
      <c r="R114" s="157"/>
      <c r="S114" s="10"/>
      <c r="T114" s="10"/>
      <c r="U114" s="11"/>
      <c r="V114" s="157"/>
      <c r="W114" s="10"/>
      <c r="X114" s="11"/>
      <c r="Y114" s="159"/>
      <c r="Z114" s="11"/>
      <c r="AA114" s="160"/>
      <c r="AB114" s="10"/>
      <c r="AC114" s="11"/>
      <c r="AD114" s="116"/>
      <c r="AF114" s="116"/>
      <c r="AG114" s="157"/>
      <c r="AH114" s="10"/>
      <c r="AI114" s="10"/>
      <c r="AJ114" s="11"/>
      <c r="AK114" s="157"/>
      <c r="AL114" s="10"/>
      <c r="AM114" s="11"/>
      <c r="AN114" s="159"/>
      <c r="AO114" s="11"/>
      <c r="AP114" s="160"/>
      <c r="AQ114" s="10"/>
      <c r="AR114" s="11"/>
      <c r="AS114" s="116"/>
      <c r="AU114" s="116"/>
      <c r="AV114" s="157"/>
      <c r="AW114" s="10"/>
      <c r="AX114" s="10"/>
      <c r="AY114" s="11"/>
      <c r="AZ114" s="157"/>
      <c r="BA114" s="10"/>
      <c r="BB114" s="11"/>
      <c r="BC114" s="159"/>
      <c r="BD114" s="11"/>
      <c r="BE114" s="160"/>
      <c r="BF114" s="10"/>
      <c r="BG114" s="11"/>
      <c r="BH114" s="116"/>
    </row>
    <row r="115">
      <c r="B115" s="116"/>
      <c r="C115" s="157"/>
      <c r="D115" s="10"/>
      <c r="E115" s="10"/>
      <c r="F115" s="11"/>
      <c r="G115" s="157"/>
      <c r="H115" s="10"/>
      <c r="I115" s="11"/>
      <c r="J115" s="159"/>
      <c r="K115" s="11"/>
      <c r="L115" s="160"/>
      <c r="M115" s="10"/>
      <c r="N115" s="11"/>
      <c r="O115" s="116"/>
      <c r="Q115" s="116"/>
      <c r="R115" s="157"/>
      <c r="S115" s="10"/>
      <c r="T115" s="10"/>
      <c r="U115" s="11"/>
      <c r="V115" s="157"/>
      <c r="W115" s="10"/>
      <c r="X115" s="11"/>
      <c r="Y115" s="159"/>
      <c r="Z115" s="11"/>
      <c r="AA115" s="160"/>
      <c r="AB115" s="10"/>
      <c r="AC115" s="11"/>
      <c r="AD115" s="116"/>
      <c r="AF115" s="116"/>
      <c r="AG115" s="157"/>
      <c r="AH115" s="10"/>
      <c r="AI115" s="10"/>
      <c r="AJ115" s="11"/>
      <c r="AK115" s="157"/>
      <c r="AL115" s="10"/>
      <c r="AM115" s="11"/>
      <c r="AN115" s="159"/>
      <c r="AO115" s="11"/>
      <c r="AP115" s="160"/>
      <c r="AQ115" s="10"/>
      <c r="AR115" s="11"/>
      <c r="AS115" s="116"/>
      <c r="AU115" s="116"/>
      <c r="AV115" s="157"/>
      <c r="AW115" s="10"/>
      <c r="AX115" s="10"/>
      <c r="AY115" s="11"/>
      <c r="AZ115" s="157"/>
      <c r="BA115" s="10"/>
      <c r="BB115" s="11"/>
      <c r="BC115" s="159"/>
      <c r="BD115" s="11"/>
      <c r="BE115" s="160"/>
      <c r="BF115" s="10"/>
      <c r="BG115" s="11"/>
      <c r="BH115" s="116"/>
    </row>
    <row r="116">
      <c r="B116" s="116"/>
      <c r="C116" s="157"/>
      <c r="D116" s="10"/>
      <c r="E116" s="10"/>
      <c r="F116" s="11"/>
      <c r="G116" s="157"/>
      <c r="H116" s="10"/>
      <c r="I116" s="11"/>
      <c r="J116" s="159"/>
      <c r="K116" s="11"/>
      <c r="L116" s="160"/>
      <c r="M116" s="10"/>
      <c r="N116" s="11"/>
      <c r="O116" s="116"/>
      <c r="Q116" s="116"/>
      <c r="R116" s="157"/>
      <c r="S116" s="10"/>
      <c r="T116" s="10"/>
      <c r="U116" s="11"/>
      <c r="V116" s="157"/>
      <c r="W116" s="10"/>
      <c r="X116" s="11"/>
      <c r="Y116" s="159"/>
      <c r="Z116" s="11"/>
      <c r="AA116" s="160"/>
      <c r="AB116" s="10"/>
      <c r="AC116" s="11"/>
      <c r="AD116" s="116"/>
      <c r="AF116" s="116"/>
      <c r="AG116" s="157"/>
      <c r="AH116" s="10"/>
      <c r="AI116" s="10"/>
      <c r="AJ116" s="11"/>
      <c r="AK116" s="157"/>
      <c r="AL116" s="10"/>
      <c r="AM116" s="11"/>
      <c r="AN116" s="159"/>
      <c r="AO116" s="11"/>
      <c r="AP116" s="160"/>
      <c r="AQ116" s="10"/>
      <c r="AR116" s="11"/>
      <c r="AS116" s="116"/>
      <c r="AU116" s="116"/>
      <c r="AV116" s="157"/>
      <c r="AW116" s="10"/>
      <c r="AX116" s="10"/>
      <c r="AY116" s="11"/>
      <c r="AZ116" s="157"/>
      <c r="BA116" s="10"/>
      <c r="BB116" s="11"/>
      <c r="BC116" s="159"/>
      <c r="BD116" s="11"/>
      <c r="BE116" s="160"/>
      <c r="BF116" s="10"/>
      <c r="BG116" s="11"/>
      <c r="BH116" s="116"/>
    </row>
    <row r="117">
      <c r="B117" s="116"/>
      <c r="C117" s="157"/>
      <c r="D117" s="10"/>
      <c r="E117" s="10"/>
      <c r="F117" s="11"/>
      <c r="G117" s="157"/>
      <c r="H117" s="10"/>
      <c r="I117" s="11"/>
      <c r="J117" s="159"/>
      <c r="K117" s="11"/>
      <c r="L117" s="160"/>
      <c r="M117" s="10"/>
      <c r="N117" s="11"/>
      <c r="O117" s="116"/>
      <c r="Q117" s="116"/>
      <c r="R117" s="157"/>
      <c r="S117" s="10"/>
      <c r="T117" s="10"/>
      <c r="U117" s="11"/>
      <c r="V117" s="157"/>
      <c r="W117" s="10"/>
      <c r="X117" s="11"/>
      <c r="Y117" s="159"/>
      <c r="Z117" s="11"/>
      <c r="AA117" s="160"/>
      <c r="AB117" s="10"/>
      <c r="AC117" s="11"/>
      <c r="AD117" s="116"/>
      <c r="AF117" s="116"/>
      <c r="AG117" s="157"/>
      <c r="AH117" s="10"/>
      <c r="AI117" s="10"/>
      <c r="AJ117" s="11"/>
      <c r="AK117" s="157"/>
      <c r="AL117" s="10"/>
      <c r="AM117" s="11"/>
      <c r="AN117" s="159"/>
      <c r="AO117" s="11"/>
      <c r="AP117" s="160"/>
      <c r="AQ117" s="10"/>
      <c r="AR117" s="11"/>
      <c r="AS117" s="116"/>
      <c r="AU117" s="116"/>
      <c r="AV117" s="157"/>
      <c r="AW117" s="10"/>
      <c r="AX117" s="10"/>
      <c r="AY117" s="11"/>
      <c r="AZ117" s="157"/>
      <c r="BA117" s="10"/>
      <c r="BB117" s="11"/>
      <c r="BC117" s="159"/>
      <c r="BD117" s="11"/>
      <c r="BE117" s="160"/>
      <c r="BF117" s="10"/>
      <c r="BG117" s="11"/>
      <c r="BH117" s="116"/>
    </row>
    <row r="118">
      <c r="B118" s="116"/>
      <c r="C118" s="157"/>
      <c r="D118" s="10"/>
      <c r="E118" s="10"/>
      <c r="F118" s="11"/>
      <c r="G118" s="157"/>
      <c r="H118" s="10"/>
      <c r="I118" s="11"/>
      <c r="J118" s="159"/>
      <c r="K118" s="11"/>
      <c r="L118" s="160"/>
      <c r="M118" s="10"/>
      <c r="N118" s="11"/>
      <c r="O118" s="116"/>
      <c r="Q118" s="116"/>
      <c r="R118" s="157"/>
      <c r="S118" s="10"/>
      <c r="T118" s="10"/>
      <c r="U118" s="11"/>
      <c r="V118" s="157"/>
      <c r="W118" s="10"/>
      <c r="X118" s="11"/>
      <c r="Y118" s="159"/>
      <c r="Z118" s="11"/>
      <c r="AA118" s="160"/>
      <c r="AB118" s="10"/>
      <c r="AC118" s="11"/>
      <c r="AD118" s="116"/>
      <c r="AF118" s="116"/>
      <c r="AG118" s="157"/>
      <c r="AH118" s="10"/>
      <c r="AI118" s="10"/>
      <c r="AJ118" s="11"/>
      <c r="AK118" s="157"/>
      <c r="AL118" s="10"/>
      <c r="AM118" s="11"/>
      <c r="AN118" s="159"/>
      <c r="AO118" s="11"/>
      <c r="AP118" s="160"/>
      <c r="AQ118" s="10"/>
      <c r="AR118" s="11"/>
      <c r="AS118" s="116"/>
      <c r="AU118" s="116"/>
      <c r="AV118" s="157"/>
      <c r="AW118" s="10"/>
      <c r="AX118" s="10"/>
      <c r="AY118" s="11"/>
      <c r="AZ118" s="157"/>
      <c r="BA118" s="10"/>
      <c r="BB118" s="11"/>
      <c r="BC118" s="159"/>
      <c r="BD118" s="11"/>
      <c r="BE118" s="160"/>
      <c r="BF118" s="10"/>
      <c r="BG118" s="11"/>
      <c r="BH118" s="116"/>
    </row>
    <row r="119">
      <c r="B119" s="116"/>
      <c r="C119" s="157"/>
      <c r="D119" s="10"/>
      <c r="E119" s="10"/>
      <c r="F119" s="11"/>
      <c r="G119" s="157"/>
      <c r="H119" s="10"/>
      <c r="I119" s="11"/>
      <c r="J119" s="159"/>
      <c r="K119" s="11"/>
      <c r="L119" s="160"/>
      <c r="M119" s="10"/>
      <c r="N119" s="11"/>
      <c r="O119" s="116"/>
      <c r="Q119" s="116"/>
      <c r="R119" s="157"/>
      <c r="S119" s="10"/>
      <c r="T119" s="10"/>
      <c r="U119" s="11"/>
      <c r="V119" s="157"/>
      <c r="W119" s="10"/>
      <c r="X119" s="11"/>
      <c r="Y119" s="159"/>
      <c r="Z119" s="11"/>
      <c r="AA119" s="160"/>
      <c r="AB119" s="10"/>
      <c r="AC119" s="11"/>
      <c r="AD119" s="116"/>
      <c r="AF119" s="116"/>
      <c r="AG119" s="157"/>
      <c r="AH119" s="10"/>
      <c r="AI119" s="10"/>
      <c r="AJ119" s="11"/>
      <c r="AK119" s="157"/>
      <c r="AL119" s="10"/>
      <c r="AM119" s="11"/>
      <c r="AN119" s="159"/>
      <c r="AO119" s="11"/>
      <c r="AP119" s="160"/>
      <c r="AQ119" s="10"/>
      <c r="AR119" s="11"/>
      <c r="AS119" s="116"/>
      <c r="AU119" s="116"/>
      <c r="AV119" s="157"/>
      <c r="AW119" s="10"/>
      <c r="AX119" s="10"/>
      <c r="AY119" s="11"/>
      <c r="AZ119" s="157"/>
      <c r="BA119" s="10"/>
      <c r="BB119" s="11"/>
      <c r="BC119" s="159"/>
      <c r="BD119" s="11"/>
      <c r="BE119" s="160"/>
      <c r="BF119" s="10"/>
      <c r="BG119" s="11"/>
      <c r="BH119" s="116"/>
    </row>
    <row r="120">
      <c r="B120" s="116"/>
      <c r="C120" s="157"/>
      <c r="D120" s="10"/>
      <c r="E120" s="10"/>
      <c r="F120" s="11"/>
      <c r="G120" s="157"/>
      <c r="H120" s="10"/>
      <c r="I120" s="11"/>
      <c r="J120" s="159"/>
      <c r="K120" s="11"/>
      <c r="L120" s="160"/>
      <c r="M120" s="10"/>
      <c r="N120" s="11"/>
      <c r="O120" s="116"/>
      <c r="Q120" s="116"/>
      <c r="R120" s="157"/>
      <c r="S120" s="10"/>
      <c r="T120" s="10"/>
      <c r="U120" s="11"/>
      <c r="V120" s="157"/>
      <c r="W120" s="10"/>
      <c r="X120" s="11"/>
      <c r="Y120" s="159"/>
      <c r="Z120" s="11"/>
      <c r="AA120" s="160"/>
      <c r="AB120" s="10"/>
      <c r="AC120" s="11"/>
      <c r="AD120" s="116"/>
      <c r="AF120" s="116"/>
      <c r="AG120" s="157"/>
      <c r="AH120" s="10"/>
      <c r="AI120" s="10"/>
      <c r="AJ120" s="11"/>
      <c r="AK120" s="157"/>
      <c r="AL120" s="10"/>
      <c r="AM120" s="11"/>
      <c r="AN120" s="159"/>
      <c r="AO120" s="11"/>
      <c r="AP120" s="160"/>
      <c r="AQ120" s="10"/>
      <c r="AR120" s="11"/>
      <c r="AS120" s="116"/>
      <c r="AU120" s="116"/>
      <c r="AV120" s="157"/>
      <c r="AW120" s="10"/>
      <c r="AX120" s="10"/>
      <c r="AY120" s="11"/>
      <c r="AZ120" s="157"/>
      <c r="BA120" s="10"/>
      <c r="BB120" s="11"/>
      <c r="BC120" s="159"/>
      <c r="BD120" s="11"/>
      <c r="BE120" s="160"/>
      <c r="BF120" s="10"/>
      <c r="BG120" s="11"/>
      <c r="BH120" s="116"/>
    </row>
    <row r="121">
      <c r="B121" s="116"/>
      <c r="C121" s="161"/>
      <c r="D121" s="10"/>
      <c r="E121" s="10"/>
      <c r="F121" s="11"/>
      <c r="G121" s="161"/>
      <c r="H121" s="10"/>
      <c r="I121" s="11"/>
      <c r="J121" s="159"/>
      <c r="K121" s="11"/>
      <c r="L121" s="160"/>
      <c r="M121" s="10"/>
      <c r="N121" s="11"/>
      <c r="O121" s="116"/>
      <c r="Q121" s="116"/>
      <c r="R121" s="161"/>
      <c r="S121" s="10"/>
      <c r="T121" s="10"/>
      <c r="U121" s="11"/>
      <c r="V121" s="161"/>
      <c r="W121" s="10"/>
      <c r="X121" s="11"/>
      <c r="Y121" s="159"/>
      <c r="Z121" s="11"/>
      <c r="AA121" s="160"/>
      <c r="AB121" s="10"/>
      <c r="AC121" s="11"/>
      <c r="AD121" s="116"/>
      <c r="AF121" s="116"/>
      <c r="AG121" s="161"/>
      <c r="AH121" s="10"/>
      <c r="AI121" s="10"/>
      <c r="AJ121" s="11"/>
      <c r="AK121" s="161"/>
      <c r="AL121" s="10"/>
      <c r="AM121" s="11"/>
      <c r="AN121" s="159"/>
      <c r="AO121" s="11"/>
      <c r="AP121" s="160"/>
      <c r="AQ121" s="10"/>
      <c r="AR121" s="11"/>
      <c r="AS121" s="116"/>
      <c r="AU121" s="116"/>
      <c r="AV121" s="161"/>
      <c r="AW121" s="10"/>
      <c r="AX121" s="10"/>
      <c r="AY121" s="11"/>
      <c r="AZ121" s="161"/>
      <c r="BA121" s="10"/>
      <c r="BB121" s="11"/>
      <c r="BC121" s="159"/>
      <c r="BD121" s="11"/>
      <c r="BE121" s="160"/>
      <c r="BF121" s="10"/>
      <c r="BG121" s="11"/>
      <c r="BH121" s="116"/>
    </row>
    <row r="122">
      <c r="B122" s="116"/>
      <c r="C122" s="161"/>
      <c r="D122" s="10"/>
      <c r="E122" s="10"/>
      <c r="F122" s="11"/>
      <c r="G122" s="161"/>
      <c r="H122" s="10"/>
      <c r="I122" s="11"/>
      <c r="J122" s="159"/>
      <c r="K122" s="11"/>
      <c r="L122" s="160"/>
      <c r="M122" s="10"/>
      <c r="N122" s="11"/>
      <c r="O122" s="116"/>
      <c r="Q122" s="116"/>
      <c r="R122" s="161"/>
      <c r="S122" s="10"/>
      <c r="T122" s="10"/>
      <c r="U122" s="11"/>
      <c r="V122" s="161"/>
      <c r="W122" s="10"/>
      <c r="X122" s="11"/>
      <c r="Y122" s="159"/>
      <c r="Z122" s="11"/>
      <c r="AA122" s="160"/>
      <c r="AB122" s="10"/>
      <c r="AC122" s="11"/>
      <c r="AD122" s="116"/>
      <c r="AF122" s="116"/>
      <c r="AG122" s="161"/>
      <c r="AH122" s="10"/>
      <c r="AI122" s="10"/>
      <c r="AJ122" s="11"/>
      <c r="AK122" s="161"/>
      <c r="AL122" s="10"/>
      <c r="AM122" s="11"/>
      <c r="AN122" s="159"/>
      <c r="AO122" s="11"/>
      <c r="AP122" s="160"/>
      <c r="AQ122" s="10"/>
      <c r="AR122" s="11"/>
      <c r="AS122" s="116"/>
      <c r="AU122" s="116"/>
      <c r="AV122" s="161"/>
      <c r="AW122" s="10"/>
      <c r="AX122" s="10"/>
      <c r="AY122" s="11"/>
      <c r="AZ122" s="161"/>
      <c r="BA122" s="10"/>
      <c r="BB122" s="11"/>
      <c r="BC122" s="159"/>
      <c r="BD122" s="11"/>
      <c r="BE122" s="160"/>
      <c r="BF122" s="10"/>
      <c r="BG122" s="11"/>
      <c r="BH122" s="116"/>
    </row>
    <row r="123">
      <c r="B123" s="81"/>
      <c r="C123" s="161"/>
      <c r="D123" s="10"/>
      <c r="E123" s="10"/>
      <c r="F123" s="11"/>
      <c r="G123" s="161"/>
      <c r="H123" s="10"/>
      <c r="I123" s="11"/>
      <c r="J123" s="159"/>
      <c r="K123" s="11"/>
      <c r="L123" s="160"/>
      <c r="M123" s="10"/>
      <c r="N123" s="11"/>
      <c r="O123" s="81"/>
      <c r="Q123" s="81"/>
      <c r="R123" s="161"/>
      <c r="S123" s="10"/>
      <c r="T123" s="10"/>
      <c r="U123" s="11"/>
      <c r="V123" s="161"/>
      <c r="W123" s="10"/>
      <c r="X123" s="11"/>
      <c r="Y123" s="159"/>
      <c r="Z123" s="11"/>
      <c r="AA123" s="160"/>
      <c r="AB123" s="10"/>
      <c r="AC123" s="11"/>
      <c r="AD123" s="81"/>
      <c r="AF123" s="81"/>
      <c r="AG123" s="161"/>
      <c r="AH123" s="10"/>
      <c r="AI123" s="10"/>
      <c r="AJ123" s="11"/>
      <c r="AK123" s="161"/>
      <c r="AL123" s="10"/>
      <c r="AM123" s="11"/>
      <c r="AN123" s="159"/>
      <c r="AO123" s="11"/>
      <c r="AP123" s="160"/>
      <c r="AQ123" s="10"/>
      <c r="AR123" s="11"/>
      <c r="AS123" s="81"/>
      <c r="AU123" s="81"/>
      <c r="AV123" s="161"/>
      <c r="AW123" s="10"/>
      <c r="AX123" s="10"/>
      <c r="AY123" s="11"/>
      <c r="AZ123" s="161"/>
      <c r="BA123" s="10"/>
      <c r="BB123" s="11"/>
      <c r="BC123" s="159"/>
      <c r="BD123" s="11"/>
      <c r="BE123" s="160"/>
      <c r="BF123" s="10"/>
      <c r="BG123" s="11"/>
      <c r="BH123" s="81"/>
    </row>
    <row r="124">
      <c r="A124" s="24"/>
    </row>
  </sheetData>
  <mergeCells count="1253">
    <mergeCell ref="AP10:AR13"/>
    <mergeCell ref="AJ14:AL14"/>
    <mergeCell ref="AM14:AO15"/>
    <mergeCell ref="AP14:AR15"/>
    <mergeCell ref="AP32:AR32"/>
    <mergeCell ref="AP43:AR43"/>
    <mergeCell ref="AV14:AX14"/>
    <mergeCell ref="AY14:BA14"/>
    <mergeCell ref="AF7:AF15"/>
    <mergeCell ref="AF16:AF43"/>
    <mergeCell ref="AG32:AJ32"/>
    <mergeCell ref="AK32:AM32"/>
    <mergeCell ref="AN32:AO32"/>
    <mergeCell ref="AG43:AJ43"/>
    <mergeCell ref="AK43:AM43"/>
    <mergeCell ref="AN43:AO43"/>
    <mergeCell ref="C19:F19"/>
    <mergeCell ref="G19:J19"/>
    <mergeCell ref="J43:K43"/>
    <mergeCell ref="L43:N43"/>
    <mergeCell ref="R43:U43"/>
    <mergeCell ref="V43:X43"/>
    <mergeCell ref="Y43:Z43"/>
    <mergeCell ref="AA43:AC43"/>
    <mergeCell ref="K19:N19"/>
    <mergeCell ref="R19:U19"/>
    <mergeCell ref="AZ31:BB31"/>
    <mergeCell ref="AZ42:BB42"/>
    <mergeCell ref="BC42:BD42"/>
    <mergeCell ref="BE42:BG42"/>
    <mergeCell ref="AV43:AY43"/>
    <mergeCell ref="AZ43:BB43"/>
    <mergeCell ref="BC43:BD43"/>
    <mergeCell ref="BE43:BG43"/>
    <mergeCell ref="BB14:BD15"/>
    <mergeCell ref="BE14:BG15"/>
    <mergeCell ref="AV30:BG30"/>
    <mergeCell ref="BC31:BD31"/>
    <mergeCell ref="BE31:BG31"/>
    <mergeCell ref="AV32:AY32"/>
    <mergeCell ref="BE32:BG32"/>
    <mergeCell ref="AV31:AY31"/>
    <mergeCell ref="C32:F32"/>
    <mergeCell ref="G32:I32"/>
    <mergeCell ref="J32:K32"/>
    <mergeCell ref="L32:N32"/>
    <mergeCell ref="R32:U32"/>
    <mergeCell ref="V32:X32"/>
    <mergeCell ref="AV15:BA15"/>
    <mergeCell ref="B16:B43"/>
    <mergeCell ref="C16:N16"/>
    <mergeCell ref="O16:O43"/>
    <mergeCell ref="Q16:Q43"/>
    <mergeCell ref="R16:AC16"/>
    <mergeCell ref="AD16:AD43"/>
    <mergeCell ref="G42:I42"/>
    <mergeCell ref="J42:K42"/>
    <mergeCell ref="L42:N42"/>
    <mergeCell ref="R42:U42"/>
    <mergeCell ref="V42:X42"/>
    <mergeCell ref="Y42:Z42"/>
    <mergeCell ref="AA42:AC42"/>
    <mergeCell ref="AG42:AJ42"/>
    <mergeCell ref="AK42:AM42"/>
    <mergeCell ref="AN42:AO42"/>
    <mergeCell ref="AP42:AR42"/>
    <mergeCell ref="AV42:AY42"/>
    <mergeCell ref="C43:F43"/>
    <mergeCell ref="G43:I43"/>
    <mergeCell ref="F10:H13"/>
    <mergeCell ref="I10:K13"/>
    <mergeCell ref="L10:N13"/>
    <mergeCell ref="R10:T13"/>
    <mergeCell ref="U10:W13"/>
    <mergeCell ref="X10:Z13"/>
    <mergeCell ref="AG10:AI13"/>
    <mergeCell ref="AJ10:AL13"/>
    <mergeCell ref="AA10:AC13"/>
    <mergeCell ref="AM10:AO13"/>
    <mergeCell ref="AV10:AX13"/>
    <mergeCell ref="AY10:BA13"/>
    <mergeCell ref="BB10:BD13"/>
    <mergeCell ref="BE10:BG13"/>
    <mergeCell ref="AA14:AC15"/>
    <mergeCell ref="AG14:AI14"/>
    <mergeCell ref="AV9:BG9"/>
    <mergeCell ref="C10:E13"/>
    <mergeCell ref="C14:E14"/>
    <mergeCell ref="F14:H14"/>
    <mergeCell ref="I14:K15"/>
    <mergeCell ref="L14:N15"/>
    <mergeCell ref="X14:Z15"/>
    <mergeCell ref="R17:U17"/>
    <mergeCell ref="V17:Y17"/>
    <mergeCell ref="R14:T14"/>
    <mergeCell ref="U14:W14"/>
    <mergeCell ref="AG16:AR16"/>
    <mergeCell ref="AV16:BG16"/>
    <mergeCell ref="C17:F17"/>
    <mergeCell ref="G17:J17"/>
    <mergeCell ref="K17:N17"/>
    <mergeCell ref="Z17:AC17"/>
    <mergeCell ref="AG17:AJ17"/>
    <mergeCell ref="AK17:AN17"/>
    <mergeCell ref="AO17:AR17"/>
    <mergeCell ref="AV17:AY17"/>
    <mergeCell ref="AZ17:BC17"/>
    <mergeCell ref="AG18:AJ18"/>
    <mergeCell ref="AK18:AN18"/>
    <mergeCell ref="AO18:AR18"/>
    <mergeCell ref="AV18:AY18"/>
    <mergeCell ref="BD17:BG17"/>
    <mergeCell ref="C18:F18"/>
    <mergeCell ref="G18:J18"/>
    <mergeCell ref="K18:N18"/>
    <mergeCell ref="R18:U18"/>
    <mergeCell ref="V18:Y18"/>
    <mergeCell ref="Z18:AC18"/>
    <mergeCell ref="AZ18:BC18"/>
    <mergeCell ref="BD18:BG18"/>
    <mergeCell ref="K20:N20"/>
    <mergeCell ref="R20:U20"/>
    <mergeCell ref="V19:Y19"/>
    <mergeCell ref="Z19:AC19"/>
    <mergeCell ref="AG19:AJ19"/>
    <mergeCell ref="AK19:AN19"/>
    <mergeCell ref="AO19:AR19"/>
    <mergeCell ref="C20:F20"/>
    <mergeCell ref="G20:J20"/>
    <mergeCell ref="C15:H15"/>
    <mergeCell ref="R15:W15"/>
    <mergeCell ref="C30:N30"/>
    <mergeCell ref="R30:AC30"/>
    <mergeCell ref="Y31:Z31"/>
    <mergeCell ref="AA31:AC31"/>
    <mergeCell ref="AG31:AJ31"/>
    <mergeCell ref="AK31:AM31"/>
    <mergeCell ref="AN31:AO31"/>
    <mergeCell ref="AP31:AR31"/>
    <mergeCell ref="AG30:AR30"/>
    <mergeCell ref="C31:F31"/>
    <mergeCell ref="G31:I31"/>
    <mergeCell ref="J31:K31"/>
    <mergeCell ref="L31:N31"/>
    <mergeCell ref="R31:U31"/>
    <mergeCell ref="V31:X31"/>
    <mergeCell ref="Y32:Z32"/>
    <mergeCell ref="AA32:AC32"/>
    <mergeCell ref="V33:X33"/>
    <mergeCell ref="Y33:Z33"/>
    <mergeCell ref="AZ32:BB32"/>
    <mergeCell ref="BC32:BD32"/>
    <mergeCell ref="C33:F33"/>
    <mergeCell ref="G33:I33"/>
    <mergeCell ref="J33:K33"/>
    <mergeCell ref="L33:N33"/>
    <mergeCell ref="R33:U33"/>
    <mergeCell ref="AZ21:BC21"/>
    <mergeCell ref="BD21:BG21"/>
    <mergeCell ref="AV23:AY23"/>
    <mergeCell ref="AZ23:BC23"/>
    <mergeCell ref="AV25:BA25"/>
    <mergeCell ref="BB25:BG25"/>
    <mergeCell ref="AV26:BA26"/>
    <mergeCell ref="BB26:BG26"/>
    <mergeCell ref="AV27:BA27"/>
    <mergeCell ref="BB27:BG27"/>
    <mergeCell ref="AV28:BA28"/>
    <mergeCell ref="BB28:BG28"/>
    <mergeCell ref="AV29:BA29"/>
    <mergeCell ref="BB29:BG29"/>
    <mergeCell ref="AG29:AL29"/>
    <mergeCell ref="AM29:AR29"/>
    <mergeCell ref="AG33:AJ33"/>
    <mergeCell ref="AK33:AM33"/>
    <mergeCell ref="AA33:AC33"/>
    <mergeCell ref="AN33:AO33"/>
    <mergeCell ref="AV33:AY33"/>
    <mergeCell ref="AZ33:BB33"/>
    <mergeCell ref="BC33:BD33"/>
    <mergeCell ref="BE33:BG33"/>
    <mergeCell ref="C34:F34"/>
    <mergeCell ref="G34:I34"/>
    <mergeCell ref="J34:K34"/>
    <mergeCell ref="L34:N34"/>
    <mergeCell ref="R34:U34"/>
    <mergeCell ref="V34:X34"/>
    <mergeCell ref="Y34:Z34"/>
    <mergeCell ref="AA34:AC34"/>
    <mergeCell ref="AP33:AR33"/>
    <mergeCell ref="AG34:AJ34"/>
    <mergeCell ref="AP34:AR34"/>
    <mergeCell ref="AK34:AM34"/>
    <mergeCell ref="AN34:AO34"/>
    <mergeCell ref="AV34:AY34"/>
    <mergeCell ref="AZ34:BB34"/>
    <mergeCell ref="BC34:BD34"/>
    <mergeCell ref="BE34:BG34"/>
    <mergeCell ref="C35:F35"/>
    <mergeCell ref="G35:I35"/>
    <mergeCell ref="J35:K35"/>
    <mergeCell ref="L35:N35"/>
    <mergeCell ref="R35:U35"/>
    <mergeCell ref="V35:X35"/>
    <mergeCell ref="Y35:Z35"/>
    <mergeCell ref="AA35:AC35"/>
    <mergeCell ref="AG35:AJ35"/>
    <mergeCell ref="AK35:AM35"/>
    <mergeCell ref="AN35:AO35"/>
    <mergeCell ref="AP35:AR35"/>
    <mergeCell ref="AV35:AY35"/>
    <mergeCell ref="AZ35:BB35"/>
    <mergeCell ref="BC35:BD35"/>
    <mergeCell ref="BE35:BG35"/>
    <mergeCell ref="C36:F36"/>
    <mergeCell ref="G36:I36"/>
    <mergeCell ref="J36:K36"/>
    <mergeCell ref="L36:N36"/>
    <mergeCell ref="R36:U36"/>
    <mergeCell ref="V36:X36"/>
    <mergeCell ref="Y36:Z36"/>
    <mergeCell ref="AA36:AC36"/>
    <mergeCell ref="AG36:AJ36"/>
    <mergeCell ref="AK36:AM36"/>
    <mergeCell ref="AN36:AO36"/>
    <mergeCell ref="AP36:AR36"/>
    <mergeCell ref="AV36:AY36"/>
    <mergeCell ref="AZ36:BB36"/>
    <mergeCell ref="BC36:BD36"/>
    <mergeCell ref="BE36:BG36"/>
    <mergeCell ref="C37:F37"/>
    <mergeCell ref="G37:I37"/>
    <mergeCell ref="J37:K37"/>
    <mergeCell ref="L37:N37"/>
    <mergeCell ref="R37:U37"/>
    <mergeCell ref="V37:X37"/>
    <mergeCell ref="Y37:Z37"/>
    <mergeCell ref="AA37:AC37"/>
    <mergeCell ref="AG37:AJ37"/>
    <mergeCell ref="AK37:AM37"/>
    <mergeCell ref="AN37:AO37"/>
    <mergeCell ref="AP37:AR37"/>
    <mergeCell ref="AV37:AY37"/>
    <mergeCell ref="AZ37:BB37"/>
    <mergeCell ref="BC37:BD37"/>
    <mergeCell ref="BE37:BG37"/>
    <mergeCell ref="C38:F38"/>
    <mergeCell ref="G38:I38"/>
    <mergeCell ref="J38:K38"/>
    <mergeCell ref="L38:N38"/>
    <mergeCell ref="R38:U38"/>
    <mergeCell ref="V38:X38"/>
    <mergeCell ref="Y38:Z38"/>
    <mergeCell ref="AA38:AC38"/>
    <mergeCell ref="AG38:AJ38"/>
    <mergeCell ref="AK38:AM38"/>
    <mergeCell ref="V20:Y20"/>
    <mergeCell ref="Z20:AC20"/>
    <mergeCell ref="AG20:AJ20"/>
    <mergeCell ref="AK20:AN20"/>
    <mergeCell ref="AO20:AR20"/>
    <mergeCell ref="AV20:AY20"/>
    <mergeCell ref="AZ20:BC20"/>
    <mergeCell ref="BD20:BG20"/>
    <mergeCell ref="C21:F21"/>
    <mergeCell ref="G21:J21"/>
    <mergeCell ref="K21:N21"/>
    <mergeCell ref="R21:U21"/>
    <mergeCell ref="V21:Y21"/>
    <mergeCell ref="Z21:AC21"/>
    <mergeCell ref="C22:F22"/>
    <mergeCell ref="G22:J22"/>
    <mergeCell ref="K22:N22"/>
    <mergeCell ref="R22:U22"/>
    <mergeCell ref="V22:Y22"/>
    <mergeCell ref="Z22:AC22"/>
    <mergeCell ref="AG22:AJ22"/>
    <mergeCell ref="AK22:AN22"/>
    <mergeCell ref="AO22:AR22"/>
    <mergeCell ref="AV22:AY22"/>
    <mergeCell ref="AZ22:BC22"/>
    <mergeCell ref="BD22:BG22"/>
    <mergeCell ref="C23:F23"/>
    <mergeCell ref="G23:J23"/>
    <mergeCell ref="AG23:AJ23"/>
    <mergeCell ref="AK23:AN23"/>
    <mergeCell ref="AG21:AJ21"/>
    <mergeCell ref="AK21:AN21"/>
    <mergeCell ref="AO21:AR21"/>
    <mergeCell ref="R23:U23"/>
    <mergeCell ref="V23:Y23"/>
    <mergeCell ref="Z23:AC23"/>
    <mergeCell ref="AO23:AR23"/>
    <mergeCell ref="R24:AC24"/>
    <mergeCell ref="C25:H25"/>
    <mergeCell ref="I25:N25"/>
    <mergeCell ref="R25:W25"/>
    <mergeCell ref="X25:AC25"/>
    <mergeCell ref="AG24:AR24"/>
    <mergeCell ref="AG25:AL25"/>
    <mergeCell ref="AM25:AR25"/>
    <mergeCell ref="C26:H26"/>
    <mergeCell ref="I26:N26"/>
    <mergeCell ref="R26:W26"/>
    <mergeCell ref="X26:AC26"/>
    <mergeCell ref="AG26:AL26"/>
    <mergeCell ref="AM26:AR26"/>
    <mergeCell ref="C27:H27"/>
    <mergeCell ref="I27:N27"/>
    <mergeCell ref="R27:W27"/>
    <mergeCell ref="X27:AC27"/>
    <mergeCell ref="AG27:AL27"/>
    <mergeCell ref="AM27:AR27"/>
    <mergeCell ref="BD23:BG23"/>
    <mergeCell ref="AV24:BG24"/>
    <mergeCell ref="AV40:AY40"/>
    <mergeCell ref="AZ40:BB40"/>
    <mergeCell ref="BC40:BD40"/>
    <mergeCell ref="BE40:BG40"/>
    <mergeCell ref="AV41:AY41"/>
    <mergeCell ref="AZ41:BB41"/>
    <mergeCell ref="BC41:BD41"/>
    <mergeCell ref="BE41:BG41"/>
    <mergeCell ref="AS16:AS43"/>
    <mergeCell ref="AU16:AU43"/>
    <mergeCell ref="BH16:BH43"/>
    <mergeCell ref="AV19:AY19"/>
    <mergeCell ref="AZ19:BC19"/>
    <mergeCell ref="BD19:BG19"/>
    <mergeCell ref="AV21:AY21"/>
    <mergeCell ref="J40:K40"/>
    <mergeCell ref="L40:N40"/>
    <mergeCell ref="AG40:AJ40"/>
    <mergeCell ref="AK40:AM40"/>
    <mergeCell ref="AN40:AO40"/>
    <mergeCell ref="AP40:AR40"/>
    <mergeCell ref="AP39:AR39"/>
    <mergeCell ref="AV39:AY39"/>
    <mergeCell ref="AZ39:BB39"/>
    <mergeCell ref="BC39:BD39"/>
    <mergeCell ref="BE39:BG39"/>
    <mergeCell ref="C40:F40"/>
    <mergeCell ref="G40:I40"/>
    <mergeCell ref="C41:F41"/>
    <mergeCell ref="C42:F42"/>
    <mergeCell ref="K23:N23"/>
    <mergeCell ref="C24:N24"/>
    <mergeCell ref="C28:H28"/>
    <mergeCell ref="I28:N28"/>
    <mergeCell ref="C29:H29"/>
    <mergeCell ref="I29:N29"/>
    <mergeCell ref="L41:N41"/>
    <mergeCell ref="R29:W29"/>
    <mergeCell ref="X29:AC29"/>
    <mergeCell ref="R40:U40"/>
    <mergeCell ref="V40:X40"/>
    <mergeCell ref="Y40:Z40"/>
    <mergeCell ref="AA40:AC40"/>
    <mergeCell ref="R41:U41"/>
    <mergeCell ref="V41:X41"/>
    <mergeCell ref="Y41:Z41"/>
    <mergeCell ref="AA41:AC41"/>
    <mergeCell ref="Q5:AD6"/>
    <mergeCell ref="AE5:AE43"/>
    <mergeCell ref="Q7:Q15"/>
    <mergeCell ref="R7:AC7"/>
    <mergeCell ref="AD7:AD15"/>
    <mergeCell ref="R8:AC8"/>
    <mergeCell ref="R9:AC9"/>
    <mergeCell ref="R121:U121"/>
    <mergeCell ref="V121:X121"/>
    <mergeCell ref="Y121:Z121"/>
    <mergeCell ref="AA121:AC121"/>
    <mergeCell ref="AG121:AJ121"/>
    <mergeCell ref="AK121:AM121"/>
    <mergeCell ref="AN121:AO121"/>
    <mergeCell ref="AP121:AR121"/>
    <mergeCell ref="AV121:AY121"/>
    <mergeCell ref="AZ121:BB121"/>
    <mergeCell ref="BC121:BD121"/>
    <mergeCell ref="BE121:BG121"/>
    <mergeCell ref="AV120:AY120"/>
    <mergeCell ref="AZ120:BB120"/>
    <mergeCell ref="BC120:BD120"/>
    <mergeCell ref="BE120:BG120"/>
    <mergeCell ref="G121:I121"/>
    <mergeCell ref="J121:K121"/>
    <mergeCell ref="L121:N121"/>
    <mergeCell ref="AG122:AJ122"/>
    <mergeCell ref="AK122:AM122"/>
    <mergeCell ref="AV122:AY122"/>
    <mergeCell ref="AZ122:BB122"/>
    <mergeCell ref="BC122:BD122"/>
    <mergeCell ref="BE122:BG122"/>
    <mergeCell ref="G122:I122"/>
    <mergeCell ref="J122:K122"/>
    <mergeCell ref="L122:N122"/>
    <mergeCell ref="R122:U122"/>
    <mergeCell ref="V122:X122"/>
    <mergeCell ref="Y122:Z122"/>
    <mergeCell ref="AA122:AC122"/>
    <mergeCell ref="Y123:Z123"/>
    <mergeCell ref="AA123:AC123"/>
    <mergeCell ref="AG123:AJ123"/>
    <mergeCell ref="AK123:AM123"/>
    <mergeCell ref="AN123:AO123"/>
    <mergeCell ref="AP123:AR123"/>
    <mergeCell ref="AV123:AY123"/>
    <mergeCell ref="AZ123:BB123"/>
    <mergeCell ref="BC123:BD123"/>
    <mergeCell ref="BE123:BG123"/>
    <mergeCell ref="AN122:AO122"/>
    <mergeCell ref="AP122:AR122"/>
    <mergeCell ref="G123:I123"/>
    <mergeCell ref="J123:K123"/>
    <mergeCell ref="L123:N123"/>
    <mergeCell ref="R123:U123"/>
    <mergeCell ref="V123:X123"/>
    <mergeCell ref="C7:N7"/>
    <mergeCell ref="C8:N8"/>
    <mergeCell ref="B5:O6"/>
    <mergeCell ref="C9:N9"/>
    <mergeCell ref="R28:W28"/>
    <mergeCell ref="X28:AC28"/>
    <mergeCell ref="AG28:AL28"/>
    <mergeCell ref="AM28:AR28"/>
    <mergeCell ref="AG39:AJ39"/>
    <mergeCell ref="AK39:AM39"/>
    <mergeCell ref="AN39:AO39"/>
    <mergeCell ref="G41:I41"/>
    <mergeCell ref="J41:K41"/>
    <mergeCell ref="AG41:AJ41"/>
    <mergeCell ref="AK41:AM41"/>
    <mergeCell ref="AN41:AO41"/>
    <mergeCell ref="AP41:AR41"/>
    <mergeCell ref="P5:P43"/>
    <mergeCell ref="O7:O15"/>
    <mergeCell ref="K59:N59"/>
    <mergeCell ref="R59:U59"/>
    <mergeCell ref="V59:Y59"/>
    <mergeCell ref="Z59:AC59"/>
    <mergeCell ref="AG59:AJ59"/>
    <mergeCell ref="A2:A123"/>
    <mergeCell ref="B7:B15"/>
    <mergeCell ref="C61:F61"/>
    <mergeCell ref="C62:F62"/>
    <mergeCell ref="C63:F63"/>
    <mergeCell ref="C121:F121"/>
    <mergeCell ref="C122:F122"/>
    <mergeCell ref="C123:F123"/>
    <mergeCell ref="R66:W66"/>
    <mergeCell ref="R67:W67"/>
    <mergeCell ref="AA120:AC120"/>
    <mergeCell ref="AG120:AJ120"/>
    <mergeCell ref="AK120:AM120"/>
    <mergeCell ref="AN120:AO120"/>
    <mergeCell ref="AP120:AR120"/>
    <mergeCell ref="K60:N60"/>
    <mergeCell ref="R60:U60"/>
    <mergeCell ref="V60:Y60"/>
    <mergeCell ref="Z60:AC60"/>
    <mergeCell ref="AG60:AJ60"/>
    <mergeCell ref="AK60:AN60"/>
    <mergeCell ref="AV59:AY59"/>
    <mergeCell ref="AV60:AY60"/>
    <mergeCell ref="AZ60:BC60"/>
    <mergeCell ref="BD60:BG60"/>
    <mergeCell ref="AK59:AN59"/>
    <mergeCell ref="AO59:AR59"/>
    <mergeCell ref="AZ59:BC59"/>
    <mergeCell ref="BD59:BG59"/>
    <mergeCell ref="C60:F60"/>
    <mergeCell ref="G60:J60"/>
    <mergeCell ref="AO60:AR60"/>
    <mergeCell ref="AO61:AR61"/>
    <mergeCell ref="AV61:AY61"/>
    <mergeCell ref="G61:J61"/>
    <mergeCell ref="K61:N61"/>
    <mergeCell ref="R61:U61"/>
    <mergeCell ref="V61:Y61"/>
    <mergeCell ref="Z61:AC61"/>
    <mergeCell ref="AG61:AJ61"/>
    <mergeCell ref="AK61:AN61"/>
    <mergeCell ref="AO62:AR62"/>
    <mergeCell ref="AV62:AY62"/>
    <mergeCell ref="G62:J62"/>
    <mergeCell ref="K62:N62"/>
    <mergeCell ref="R62:U62"/>
    <mergeCell ref="V62:Y62"/>
    <mergeCell ref="Z62:AC62"/>
    <mergeCell ref="AG62:AJ62"/>
    <mergeCell ref="AK62:AN62"/>
    <mergeCell ref="AO63:AR63"/>
    <mergeCell ref="AV63:AY63"/>
    <mergeCell ref="G63:J63"/>
    <mergeCell ref="K63:N63"/>
    <mergeCell ref="R63:U63"/>
    <mergeCell ref="V63:Y63"/>
    <mergeCell ref="Z63:AC63"/>
    <mergeCell ref="AG63:AJ63"/>
    <mergeCell ref="AK63:AN63"/>
    <mergeCell ref="BD63:BG63"/>
    <mergeCell ref="AV64:BG64"/>
    <mergeCell ref="AV65:BA65"/>
    <mergeCell ref="BB65:BG65"/>
    <mergeCell ref="AV66:BA66"/>
    <mergeCell ref="BB66:BG66"/>
    <mergeCell ref="AU5:BH6"/>
    <mergeCell ref="AV7:BG7"/>
    <mergeCell ref="AZ61:BC61"/>
    <mergeCell ref="BD61:BG61"/>
    <mergeCell ref="AZ62:BC62"/>
    <mergeCell ref="BD62:BG62"/>
    <mergeCell ref="AZ63:BC63"/>
    <mergeCell ref="AG65:AL65"/>
    <mergeCell ref="AM65:AR65"/>
    <mergeCell ref="C64:N64"/>
    <mergeCell ref="R64:AC64"/>
    <mergeCell ref="AG64:AR64"/>
    <mergeCell ref="C65:H65"/>
    <mergeCell ref="I65:N65"/>
    <mergeCell ref="R65:W65"/>
    <mergeCell ref="X65:AC65"/>
    <mergeCell ref="AG66:AL66"/>
    <mergeCell ref="AG67:AL67"/>
    <mergeCell ref="C66:H66"/>
    <mergeCell ref="I66:N66"/>
    <mergeCell ref="X66:AC66"/>
    <mergeCell ref="AM66:AR66"/>
    <mergeCell ref="C67:H67"/>
    <mergeCell ref="I67:N67"/>
    <mergeCell ref="X67:AC67"/>
    <mergeCell ref="AP50:AR53"/>
    <mergeCell ref="AJ54:AL54"/>
    <mergeCell ref="AV54:AX54"/>
    <mergeCell ref="AY54:BA54"/>
    <mergeCell ref="AV57:AY57"/>
    <mergeCell ref="AZ57:BC57"/>
    <mergeCell ref="AV69:BA69"/>
    <mergeCell ref="BB69:BG69"/>
    <mergeCell ref="AV70:BG70"/>
    <mergeCell ref="BB54:BD55"/>
    <mergeCell ref="BE54:BG55"/>
    <mergeCell ref="BD57:BG57"/>
    <mergeCell ref="AG55:AL55"/>
    <mergeCell ref="AV55:BA55"/>
    <mergeCell ref="O47:O55"/>
    <mergeCell ref="O56:O83"/>
    <mergeCell ref="Z58:AC58"/>
    <mergeCell ref="AG58:AJ58"/>
    <mergeCell ref="AK58:AN58"/>
    <mergeCell ref="AO58:AR58"/>
    <mergeCell ref="AV58:AY58"/>
    <mergeCell ref="AZ58:BC58"/>
    <mergeCell ref="BD58:BG58"/>
    <mergeCell ref="AK74:AM74"/>
    <mergeCell ref="AN74:AO74"/>
    <mergeCell ref="AP74:AR74"/>
    <mergeCell ref="AV74:AY74"/>
    <mergeCell ref="AZ74:BB74"/>
    <mergeCell ref="BC74:BD74"/>
    <mergeCell ref="BE74:BG74"/>
    <mergeCell ref="AF5:AS6"/>
    <mergeCell ref="AT5:AT43"/>
    <mergeCell ref="AG7:AR7"/>
    <mergeCell ref="AS7:AS15"/>
    <mergeCell ref="AG8:AR8"/>
    <mergeCell ref="AG9:AR9"/>
    <mergeCell ref="AG15:AL15"/>
    <mergeCell ref="B44:BH44"/>
    <mergeCell ref="B45:O46"/>
    <mergeCell ref="Q45:AD46"/>
    <mergeCell ref="AF45:AS46"/>
    <mergeCell ref="AU45:BH46"/>
    <mergeCell ref="R54:T54"/>
    <mergeCell ref="U54:W54"/>
    <mergeCell ref="R68:W68"/>
    <mergeCell ref="X68:AC68"/>
    <mergeCell ref="R69:W69"/>
    <mergeCell ref="X69:AC69"/>
    <mergeCell ref="AA54:AC55"/>
    <mergeCell ref="AG54:AI54"/>
    <mergeCell ref="AE45:AE83"/>
    <mergeCell ref="AF56:AF83"/>
    <mergeCell ref="AG69:AL69"/>
    <mergeCell ref="AM69:AR69"/>
    <mergeCell ref="AP71:AR71"/>
    <mergeCell ref="AV71:AY71"/>
    <mergeCell ref="AZ71:BB71"/>
    <mergeCell ref="BC71:BD71"/>
    <mergeCell ref="BE71:BG71"/>
    <mergeCell ref="L72:N72"/>
    <mergeCell ref="R72:U72"/>
    <mergeCell ref="C73:F73"/>
    <mergeCell ref="G73:I73"/>
    <mergeCell ref="J73:K73"/>
    <mergeCell ref="L73:N73"/>
    <mergeCell ref="Y73:Z73"/>
    <mergeCell ref="AT45:AT83"/>
    <mergeCell ref="C47:N47"/>
    <mergeCell ref="AF47:AF55"/>
    <mergeCell ref="AS47:AS55"/>
    <mergeCell ref="C48:N48"/>
    <mergeCell ref="AG49:AR49"/>
    <mergeCell ref="AS56:AS83"/>
    <mergeCell ref="BC119:BD119"/>
    <mergeCell ref="BE119:BG119"/>
    <mergeCell ref="A1:BI1"/>
    <mergeCell ref="B2:BH3"/>
    <mergeCell ref="BI2:BI123"/>
    <mergeCell ref="B4:BH4"/>
    <mergeCell ref="BH7:BH15"/>
    <mergeCell ref="AV8:BG8"/>
    <mergeCell ref="BH56:BH83"/>
    <mergeCell ref="A124:BI124"/>
    <mergeCell ref="AV112:AY112"/>
    <mergeCell ref="AZ112:BB112"/>
    <mergeCell ref="BC112:BD112"/>
    <mergeCell ref="BE112:BG112"/>
    <mergeCell ref="C113:F113"/>
    <mergeCell ref="G113:I113"/>
    <mergeCell ref="J113:K113"/>
    <mergeCell ref="L113:N113"/>
    <mergeCell ref="R113:U113"/>
    <mergeCell ref="V113:X113"/>
    <mergeCell ref="Y113:Z113"/>
    <mergeCell ref="AA113:AC113"/>
    <mergeCell ref="AG113:AJ113"/>
    <mergeCell ref="AK113:AM113"/>
    <mergeCell ref="C101:F101"/>
    <mergeCell ref="C103:F103"/>
    <mergeCell ref="C104:N104"/>
    <mergeCell ref="C105:H105"/>
    <mergeCell ref="I105:N105"/>
    <mergeCell ref="C106:H106"/>
    <mergeCell ref="I106:N106"/>
    <mergeCell ref="C107:H107"/>
    <mergeCell ref="I107:N107"/>
    <mergeCell ref="C108:H108"/>
    <mergeCell ref="I108:N108"/>
    <mergeCell ref="C109:H109"/>
    <mergeCell ref="I109:N109"/>
    <mergeCell ref="C112:F112"/>
    <mergeCell ref="G112:I112"/>
    <mergeCell ref="J114:K114"/>
    <mergeCell ref="L114:N114"/>
    <mergeCell ref="R114:U114"/>
    <mergeCell ref="V114:X114"/>
    <mergeCell ref="Y114:Z114"/>
    <mergeCell ref="AA114:AC114"/>
    <mergeCell ref="AG114:AJ114"/>
    <mergeCell ref="AK114:AM114"/>
    <mergeCell ref="AN114:AO114"/>
    <mergeCell ref="AP114:AR114"/>
    <mergeCell ref="AV114:AY114"/>
    <mergeCell ref="AZ114:BB114"/>
    <mergeCell ref="AN111:AO111"/>
    <mergeCell ref="AN113:AO113"/>
    <mergeCell ref="AP113:AR113"/>
    <mergeCell ref="AV113:AY113"/>
    <mergeCell ref="AZ113:BB113"/>
    <mergeCell ref="C114:F114"/>
    <mergeCell ref="G114:I114"/>
    <mergeCell ref="AA115:AC115"/>
    <mergeCell ref="AG115:AJ115"/>
    <mergeCell ref="C115:F115"/>
    <mergeCell ref="G115:I115"/>
    <mergeCell ref="J115:K115"/>
    <mergeCell ref="L115:N115"/>
    <mergeCell ref="R115:U115"/>
    <mergeCell ref="V115:X115"/>
    <mergeCell ref="Y115:Z115"/>
    <mergeCell ref="J116:K116"/>
    <mergeCell ref="L116:N116"/>
    <mergeCell ref="R116:U116"/>
    <mergeCell ref="V116:X116"/>
    <mergeCell ref="Y116:Z116"/>
    <mergeCell ref="AA116:AC116"/>
    <mergeCell ref="AG116:AJ116"/>
    <mergeCell ref="AK116:AM116"/>
    <mergeCell ref="AN116:AO116"/>
    <mergeCell ref="AP116:AR116"/>
    <mergeCell ref="AV116:AY116"/>
    <mergeCell ref="AZ116:BB116"/>
    <mergeCell ref="AK115:AM115"/>
    <mergeCell ref="AN115:AO115"/>
    <mergeCell ref="AP115:AR115"/>
    <mergeCell ref="AV115:AY115"/>
    <mergeCell ref="AZ115:BB115"/>
    <mergeCell ref="C116:F116"/>
    <mergeCell ref="G116:I116"/>
    <mergeCell ref="AV117:AY117"/>
    <mergeCell ref="AZ117:BB117"/>
    <mergeCell ref="V117:X117"/>
    <mergeCell ref="Y117:Z117"/>
    <mergeCell ref="AA117:AC117"/>
    <mergeCell ref="AG117:AJ117"/>
    <mergeCell ref="AK117:AM117"/>
    <mergeCell ref="AN117:AO117"/>
    <mergeCell ref="AP117:AR117"/>
    <mergeCell ref="AN118:AO118"/>
    <mergeCell ref="AP118:AR118"/>
    <mergeCell ref="AV118:AY118"/>
    <mergeCell ref="AZ118:BB118"/>
    <mergeCell ref="J118:K118"/>
    <mergeCell ref="L118:N118"/>
    <mergeCell ref="V118:X118"/>
    <mergeCell ref="Y118:Z118"/>
    <mergeCell ref="AA118:AC118"/>
    <mergeCell ref="AG118:AJ118"/>
    <mergeCell ref="AK118:AM118"/>
    <mergeCell ref="AV119:AY119"/>
    <mergeCell ref="AZ119:BB119"/>
    <mergeCell ref="V119:X119"/>
    <mergeCell ref="Y119:Z119"/>
    <mergeCell ref="AA119:AC119"/>
    <mergeCell ref="AG119:AJ119"/>
    <mergeCell ref="AK119:AM119"/>
    <mergeCell ref="AN119:AO119"/>
    <mergeCell ref="AP119:AR119"/>
    <mergeCell ref="AV68:BA68"/>
    <mergeCell ref="BB68:BG68"/>
    <mergeCell ref="AG47:AR47"/>
    <mergeCell ref="AG48:AR48"/>
    <mergeCell ref="AM67:AR67"/>
    <mergeCell ref="AV67:BA67"/>
    <mergeCell ref="BB67:BG67"/>
    <mergeCell ref="AG68:AL68"/>
    <mergeCell ref="AM68:AR68"/>
    <mergeCell ref="AA71:AC71"/>
    <mergeCell ref="AG71:AJ71"/>
    <mergeCell ref="AM54:AO55"/>
    <mergeCell ref="AP54:AR55"/>
    <mergeCell ref="R70:AC70"/>
    <mergeCell ref="AG70:AR70"/>
    <mergeCell ref="R71:U71"/>
    <mergeCell ref="V71:X71"/>
    <mergeCell ref="Y71:Z71"/>
    <mergeCell ref="B47:B55"/>
    <mergeCell ref="C50:E53"/>
    <mergeCell ref="C68:H68"/>
    <mergeCell ref="I68:N68"/>
    <mergeCell ref="C69:H69"/>
    <mergeCell ref="I69:N69"/>
    <mergeCell ref="C70:N70"/>
    <mergeCell ref="C71:F71"/>
    <mergeCell ref="G71:I71"/>
    <mergeCell ref="J71:K71"/>
    <mergeCell ref="L71:N71"/>
    <mergeCell ref="C72:F72"/>
    <mergeCell ref="G72:I72"/>
    <mergeCell ref="J72:K72"/>
    <mergeCell ref="AN72:AO72"/>
    <mergeCell ref="AP72:AR72"/>
    <mergeCell ref="AV72:AY72"/>
    <mergeCell ref="AZ72:BB72"/>
    <mergeCell ref="BC72:BD72"/>
    <mergeCell ref="BE72:BG72"/>
    <mergeCell ref="AK71:AM71"/>
    <mergeCell ref="AN71:AO71"/>
    <mergeCell ref="V72:X72"/>
    <mergeCell ref="Y72:Z72"/>
    <mergeCell ref="AA72:AC72"/>
    <mergeCell ref="AG72:AJ72"/>
    <mergeCell ref="AK72:AM72"/>
    <mergeCell ref="BC73:BD73"/>
    <mergeCell ref="BE73:BG73"/>
    <mergeCell ref="AA73:AC73"/>
    <mergeCell ref="AG73:AJ73"/>
    <mergeCell ref="AK73:AM73"/>
    <mergeCell ref="AN73:AO73"/>
    <mergeCell ref="AP73:AR73"/>
    <mergeCell ref="AV73:AY73"/>
    <mergeCell ref="AZ73:BB73"/>
    <mergeCell ref="R75:U75"/>
    <mergeCell ref="V75:X75"/>
    <mergeCell ref="R73:U73"/>
    <mergeCell ref="V73:X73"/>
    <mergeCell ref="R74:U74"/>
    <mergeCell ref="V74:X74"/>
    <mergeCell ref="Y74:Z74"/>
    <mergeCell ref="AA74:AC74"/>
    <mergeCell ref="AG74:AJ74"/>
    <mergeCell ref="L75:N75"/>
    <mergeCell ref="Y75:Z75"/>
    <mergeCell ref="C74:F74"/>
    <mergeCell ref="G74:I74"/>
    <mergeCell ref="J74:K74"/>
    <mergeCell ref="L74:N74"/>
    <mergeCell ref="C75:F75"/>
    <mergeCell ref="G75:I75"/>
    <mergeCell ref="J75:K75"/>
    <mergeCell ref="AN38:AO38"/>
    <mergeCell ref="AP38:AR38"/>
    <mergeCell ref="AV38:AY38"/>
    <mergeCell ref="AZ38:BB38"/>
    <mergeCell ref="BC38:BD38"/>
    <mergeCell ref="BE38:BG38"/>
    <mergeCell ref="C39:F39"/>
    <mergeCell ref="G39:I39"/>
    <mergeCell ref="J39:K39"/>
    <mergeCell ref="L39:N39"/>
    <mergeCell ref="R39:U39"/>
    <mergeCell ref="V39:X39"/>
    <mergeCell ref="Y39:Z39"/>
    <mergeCell ref="AA39:AC39"/>
    <mergeCell ref="F50:H53"/>
    <mergeCell ref="I50:K53"/>
    <mergeCell ref="L50:N53"/>
    <mergeCell ref="R50:T53"/>
    <mergeCell ref="U50:W53"/>
    <mergeCell ref="X50:Z53"/>
    <mergeCell ref="AA50:AC53"/>
    <mergeCell ref="AG50:AI53"/>
    <mergeCell ref="AJ50:AL53"/>
    <mergeCell ref="AM50:AO53"/>
    <mergeCell ref="AV50:AX53"/>
    <mergeCell ref="AY50:BA53"/>
    <mergeCell ref="BB50:BD53"/>
    <mergeCell ref="BE50:BG53"/>
    <mergeCell ref="AU47:AU55"/>
    <mergeCell ref="AV47:BG47"/>
    <mergeCell ref="AV48:BG48"/>
    <mergeCell ref="AV49:BG49"/>
    <mergeCell ref="BH47:BH55"/>
    <mergeCell ref="C49:N49"/>
    <mergeCell ref="C54:E54"/>
    <mergeCell ref="F54:H54"/>
    <mergeCell ref="I54:K55"/>
    <mergeCell ref="L54:N55"/>
    <mergeCell ref="X54:Z55"/>
    <mergeCell ref="R49:AC49"/>
    <mergeCell ref="R56:AC56"/>
    <mergeCell ref="AA75:AC75"/>
    <mergeCell ref="R76:U76"/>
    <mergeCell ref="V76:X76"/>
    <mergeCell ref="Y76:Z76"/>
    <mergeCell ref="AA76:AC76"/>
    <mergeCell ref="R77:U77"/>
    <mergeCell ref="V77:X77"/>
    <mergeCell ref="Y77:Z77"/>
    <mergeCell ref="AA77:AC77"/>
    <mergeCell ref="P45:P83"/>
    <mergeCell ref="Q47:Q55"/>
    <mergeCell ref="R47:AC47"/>
    <mergeCell ref="AD47:AD55"/>
    <mergeCell ref="R48:AC48"/>
    <mergeCell ref="Q56:Q83"/>
    <mergeCell ref="AD56:AD83"/>
    <mergeCell ref="C59:F59"/>
    <mergeCell ref="G59:J59"/>
    <mergeCell ref="C55:H55"/>
    <mergeCell ref="R55:W55"/>
    <mergeCell ref="C58:F58"/>
    <mergeCell ref="G58:J58"/>
    <mergeCell ref="K58:N58"/>
    <mergeCell ref="R58:U58"/>
    <mergeCell ref="V58:Y58"/>
    <mergeCell ref="AG75:AJ75"/>
    <mergeCell ref="AK75:AM75"/>
    <mergeCell ref="AN75:AO75"/>
    <mergeCell ref="AP75:AR75"/>
    <mergeCell ref="AV75:AY75"/>
    <mergeCell ref="AZ75:BB75"/>
    <mergeCell ref="BC75:BD75"/>
    <mergeCell ref="BE75:BG75"/>
    <mergeCell ref="C76:F76"/>
    <mergeCell ref="G76:I76"/>
    <mergeCell ref="J76:K76"/>
    <mergeCell ref="L76:N76"/>
    <mergeCell ref="AG76:AJ76"/>
    <mergeCell ref="AK76:AM76"/>
    <mergeCell ref="C56:N56"/>
    <mergeCell ref="C57:F57"/>
    <mergeCell ref="K57:N57"/>
    <mergeCell ref="B56:B83"/>
    <mergeCell ref="G57:J57"/>
    <mergeCell ref="C77:F77"/>
    <mergeCell ref="G77:I77"/>
    <mergeCell ref="J77:K77"/>
    <mergeCell ref="L77:N77"/>
    <mergeCell ref="C78:F78"/>
    <mergeCell ref="L78:N78"/>
    <mergeCell ref="R78:U78"/>
    <mergeCell ref="V78:X78"/>
    <mergeCell ref="Y78:Z78"/>
    <mergeCell ref="AA78:AC78"/>
    <mergeCell ref="AG78:AJ78"/>
    <mergeCell ref="AK78:AM78"/>
    <mergeCell ref="AN78:AO78"/>
    <mergeCell ref="AP78:AR78"/>
    <mergeCell ref="AV78:AY78"/>
    <mergeCell ref="AZ78:BB78"/>
    <mergeCell ref="BC78:BD78"/>
    <mergeCell ref="C79:F79"/>
    <mergeCell ref="G79:I79"/>
    <mergeCell ref="AU7:AU15"/>
    <mergeCell ref="AG56:AR56"/>
    <mergeCell ref="R57:U57"/>
    <mergeCell ref="V57:Y57"/>
    <mergeCell ref="Z57:AC57"/>
    <mergeCell ref="AG57:AJ57"/>
    <mergeCell ref="AK57:AN57"/>
    <mergeCell ref="AO57:AR57"/>
    <mergeCell ref="AN76:AO76"/>
    <mergeCell ref="AP76:AR76"/>
    <mergeCell ref="AG77:AJ77"/>
    <mergeCell ref="AK77:AM77"/>
    <mergeCell ref="AN77:AO77"/>
    <mergeCell ref="AP77:AR77"/>
    <mergeCell ref="AZ77:BB77"/>
    <mergeCell ref="BC77:BD77"/>
    <mergeCell ref="AA79:AC79"/>
    <mergeCell ref="AG79:AJ79"/>
    <mergeCell ref="AK79:AM79"/>
    <mergeCell ref="AN79:AO79"/>
    <mergeCell ref="AP79:AR79"/>
    <mergeCell ref="G78:I78"/>
    <mergeCell ref="J78:K78"/>
    <mergeCell ref="J79:K79"/>
    <mergeCell ref="L79:N79"/>
    <mergeCell ref="R79:U79"/>
    <mergeCell ref="V79:X79"/>
    <mergeCell ref="Y79:Z79"/>
    <mergeCell ref="BE78:BG78"/>
    <mergeCell ref="AZ79:BB79"/>
    <mergeCell ref="BC79:BD79"/>
    <mergeCell ref="BE79:BG79"/>
    <mergeCell ref="C80:F80"/>
    <mergeCell ref="G80:I80"/>
    <mergeCell ref="J80:K80"/>
    <mergeCell ref="L80:N80"/>
    <mergeCell ref="R80:U80"/>
    <mergeCell ref="V80:X80"/>
    <mergeCell ref="Y80:Z80"/>
    <mergeCell ref="AA80:AC80"/>
    <mergeCell ref="AG80:AJ80"/>
    <mergeCell ref="AK80:AM80"/>
    <mergeCell ref="AN80:AO80"/>
    <mergeCell ref="AP80:AR80"/>
    <mergeCell ref="C81:F81"/>
    <mergeCell ref="G81:I81"/>
    <mergeCell ref="J81:K81"/>
    <mergeCell ref="L81:N81"/>
    <mergeCell ref="R81:U81"/>
    <mergeCell ref="V81:X81"/>
    <mergeCell ref="Y81:Z81"/>
    <mergeCell ref="AA81:AC81"/>
    <mergeCell ref="AG81:AJ81"/>
    <mergeCell ref="AK81:AM81"/>
    <mergeCell ref="AN81:AO81"/>
    <mergeCell ref="AP81:AR81"/>
    <mergeCell ref="C82:F82"/>
    <mergeCell ref="G82:I82"/>
    <mergeCell ref="J82:K82"/>
    <mergeCell ref="L82:N82"/>
    <mergeCell ref="R82:U82"/>
    <mergeCell ref="V82:X82"/>
    <mergeCell ref="Y82:Z82"/>
    <mergeCell ref="AA82:AC82"/>
    <mergeCell ref="AG82:AJ82"/>
    <mergeCell ref="AK82:AM82"/>
    <mergeCell ref="AN82:AO82"/>
    <mergeCell ref="AP82:AR82"/>
    <mergeCell ref="C83:F83"/>
    <mergeCell ref="G83:I83"/>
    <mergeCell ref="J83:K83"/>
    <mergeCell ref="L83:N83"/>
    <mergeCell ref="AV77:AY77"/>
    <mergeCell ref="AV79:AY79"/>
    <mergeCell ref="AU56:AU83"/>
    <mergeCell ref="AV56:BG56"/>
    <mergeCell ref="AV76:AY76"/>
    <mergeCell ref="AZ76:BB76"/>
    <mergeCell ref="BC76:BD76"/>
    <mergeCell ref="BE76:BG76"/>
    <mergeCell ref="BE77:BG77"/>
    <mergeCell ref="AV80:AY80"/>
    <mergeCell ref="AZ80:BB80"/>
    <mergeCell ref="BC80:BD80"/>
    <mergeCell ref="BE80:BG80"/>
    <mergeCell ref="AV81:AY81"/>
    <mergeCell ref="AZ81:BB81"/>
    <mergeCell ref="BC81:BD81"/>
    <mergeCell ref="BE81:BG81"/>
    <mergeCell ref="AV82:AY82"/>
    <mergeCell ref="AZ82:BB82"/>
    <mergeCell ref="BC82:BD82"/>
    <mergeCell ref="BE82:BG82"/>
    <mergeCell ref="AV83:AY83"/>
    <mergeCell ref="AZ83:BB83"/>
    <mergeCell ref="AG94:AI94"/>
    <mergeCell ref="AJ94:AL94"/>
    <mergeCell ref="AY90:BA93"/>
    <mergeCell ref="BB90:BD93"/>
    <mergeCell ref="BE90:BG93"/>
    <mergeCell ref="C94:E94"/>
    <mergeCell ref="F94:H94"/>
    <mergeCell ref="I94:K95"/>
    <mergeCell ref="L94:N95"/>
    <mergeCell ref="BH87:BH95"/>
    <mergeCell ref="C88:N88"/>
    <mergeCell ref="AV88:BG88"/>
    <mergeCell ref="R89:AC89"/>
    <mergeCell ref="AV89:BG89"/>
    <mergeCell ref="C90:E93"/>
    <mergeCell ref="F90:H93"/>
    <mergeCell ref="B87:B95"/>
    <mergeCell ref="O87:O95"/>
    <mergeCell ref="Q87:Q95"/>
    <mergeCell ref="R87:AC87"/>
    <mergeCell ref="AD87:AD95"/>
    <mergeCell ref="AU87:AU95"/>
    <mergeCell ref="R88:AC88"/>
    <mergeCell ref="G98:J98"/>
    <mergeCell ref="K98:N98"/>
    <mergeCell ref="R83:U83"/>
    <mergeCell ref="V83:X83"/>
    <mergeCell ref="C97:F97"/>
    <mergeCell ref="G97:J97"/>
    <mergeCell ref="K97:N97"/>
    <mergeCell ref="R97:U97"/>
    <mergeCell ref="C98:F98"/>
    <mergeCell ref="R98:U98"/>
    <mergeCell ref="V98:Y98"/>
    <mergeCell ref="Z98:AC98"/>
    <mergeCell ref="AG98:AJ98"/>
    <mergeCell ref="AK98:AN98"/>
    <mergeCell ref="AO98:AR98"/>
    <mergeCell ref="AV98:AY98"/>
    <mergeCell ref="AZ98:BC98"/>
    <mergeCell ref="AG99:AJ99"/>
    <mergeCell ref="AK99:AN99"/>
    <mergeCell ref="BD98:BG98"/>
    <mergeCell ref="C99:F99"/>
    <mergeCell ref="G99:J99"/>
    <mergeCell ref="K99:N99"/>
    <mergeCell ref="R99:U99"/>
    <mergeCell ref="V99:Y99"/>
    <mergeCell ref="Z99:AC99"/>
    <mergeCell ref="AO99:AR99"/>
    <mergeCell ref="AV99:AY99"/>
    <mergeCell ref="AV94:AX94"/>
    <mergeCell ref="AY94:BA94"/>
    <mergeCell ref="BB94:BD95"/>
    <mergeCell ref="BE94:BG95"/>
    <mergeCell ref="AZ99:BC99"/>
    <mergeCell ref="BD99:BG99"/>
    <mergeCell ref="AV100:AY100"/>
    <mergeCell ref="AZ100:BC100"/>
    <mergeCell ref="BD100:BG100"/>
    <mergeCell ref="AF87:AF95"/>
    <mergeCell ref="AF96:AF123"/>
    <mergeCell ref="AF85:AS86"/>
    <mergeCell ref="AT85:AT123"/>
    <mergeCell ref="AG87:AR87"/>
    <mergeCell ref="AS87:AS95"/>
    <mergeCell ref="AG88:AR88"/>
    <mergeCell ref="AG89:AR89"/>
    <mergeCell ref="AD96:AD123"/>
    <mergeCell ref="AU85:BH86"/>
    <mergeCell ref="AV87:BG87"/>
    <mergeCell ref="C87:N87"/>
    <mergeCell ref="C89:N89"/>
    <mergeCell ref="I90:K93"/>
    <mergeCell ref="L90:N93"/>
    <mergeCell ref="J112:K112"/>
    <mergeCell ref="L112:N112"/>
    <mergeCell ref="R90:T93"/>
    <mergeCell ref="U90:W93"/>
    <mergeCell ref="R112:U112"/>
    <mergeCell ref="V112:X112"/>
    <mergeCell ref="Y112:Z112"/>
    <mergeCell ref="AA112:AC112"/>
    <mergeCell ref="R96:AC96"/>
    <mergeCell ref="AG96:AR96"/>
    <mergeCell ref="AG112:AJ112"/>
    <mergeCell ref="AK112:AM112"/>
    <mergeCell ref="AN112:AO112"/>
    <mergeCell ref="AP112:AR112"/>
    <mergeCell ref="Z103:AC103"/>
    <mergeCell ref="R104:AC104"/>
    <mergeCell ref="P85:P123"/>
    <mergeCell ref="AE85:AE123"/>
    <mergeCell ref="X90:Z93"/>
    <mergeCell ref="AA90:AC93"/>
    <mergeCell ref="R94:T94"/>
    <mergeCell ref="U94:W94"/>
    <mergeCell ref="AA94:AC95"/>
    <mergeCell ref="Y83:Z83"/>
    <mergeCell ref="AA83:AC83"/>
    <mergeCell ref="AN83:AO83"/>
    <mergeCell ref="AP83:AR83"/>
    <mergeCell ref="AS96:AS123"/>
    <mergeCell ref="AU96:AU123"/>
    <mergeCell ref="AO97:AR97"/>
    <mergeCell ref="AO103:AR103"/>
    <mergeCell ref="B84:BH84"/>
    <mergeCell ref="B85:O86"/>
    <mergeCell ref="Q85:AD86"/>
    <mergeCell ref="AG83:AJ83"/>
    <mergeCell ref="AK83:AM83"/>
    <mergeCell ref="AG90:AI93"/>
    <mergeCell ref="AJ90:AL93"/>
    <mergeCell ref="AM90:AO93"/>
    <mergeCell ref="AP90:AR93"/>
    <mergeCell ref="AV90:AX93"/>
    <mergeCell ref="X94:Z95"/>
    <mergeCell ref="V97:Y97"/>
    <mergeCell ref="AG97:AJ97"/>
    <mergeCell ref="AK97:AN97"/>
    <mergeCell ref="C102:F102"/>
    <mergeCell ref="G102:J102"/>
    <mergeCell ref="K102:N102"/>
    <mergeCell ref="R111:U111"/>
    <mergeCell ref="V111:X111"/>
    <mergeCell ref="BC116:BD116"/>
    <mergeCell ref="BC117:BD117"/>
    <mergeCell ref="BC118:BD118"/>
    <mergeCell ref="AM105:AR105"/>
    <mergeCell ref="AV105:BA105"/>
    <mergeCell ref="AG102:AJ102"/>
    <mergeCell ref="AK102:AN102"/>
    <mergeCell ref="AO102:AR102"/>
    <mergeCell ref="AV102:AY102"/>
    <mergeCell ref="AZ102:BC102"/>
    <mergeCell ref="AG104:AR104"/>
    <mergeCell ref="AG105:AL105"/>
    <mergeCell ref="Z97:AC97"/>
    <mergeCell ref="Z102:AC102"/>
    <mergeCell ref="R103:U103"/>
    <mergeCell ref="V103:Y103"/>
    <mergeCell ref="R105:W105"/>
    <mergeCell ref="X105:AC105"/>
    <mergeCell ref="R106:W106"/>
    <mergeCell ref="X106:AC106"/>
    <mergeCell ref="R107:W107"/>
    <mergeCell ref="X107:AC107"/>
    <mergeCell ref="R108:W108"/>
    <mergeCell ref="X108:AC108"/>
    <mergeCell ref="R109:W109"/>
    <mergeCell ref="X109:AC109"/>
    <mergeCell ref="R102:U102"/>
    <mergeCell ref="V102:Y102"/>
    <mergeCell ref="G103:J103"/>
    <mergeCell ref="K103:N103"/>
    <mergeCell ref="AG103:AJ103"/>
    <mergeCell ref="AK103:AN103"/>
    <mergeCell ref="AM107:AR107"/>
    <mergeCell ref="AG107:AL107"/>
    <mergeCell ref="AG108:AL108"/>
    <mergeCell ref="AM108:AR108"/>
    <mergeCell ref="AG109:AL109"/>
    <mergeCell ref="AM109:AR109"/>
    <mergeCell ref="R110:AC110"/>
    <mergeCell ref="AG110:AR110"/>
    <mergeCell ref="C110:N110"/>
    <mergeCell ref="C111:F111"/>
    <mergeCell ref="G111:I111"/>
    <mergeCell ref="J111:K111"/>
    <mergeCell ref="L111:N111"/>
    <mergeCell ref="B96:B123"/>
    <mergeCell ref="C96:N96"/>
    <mergeCell ref="C100:F100"/>
    <mergeCell ref="G100:J100"/>
    <mergeCell ref="K100:N100"/>
    <mergeCell ref="G101:J101"/>
    <mergeCell ref="K101:N101"/>
    <mergeCell ref="AV110:BG110"/>
    <mergeCell ref="AV111:AY111"/>
    <mergeCell ref="AZ111:BB111"/>
    <mergeCell ref="BC111:BD111"/>
    <mergeCell ref="BE111:BG111"/>
    <mergeCell ref="BC83:BD83"/>
    <mergeCell ref="BE83:BG83"/>
    <mergeCell ref="AV96:BG96"/>
    <mergeCell ref="BH96:BH123"/>
    <mergeCell ref="AV97:AY97"/>
    <mergeCell ref="AZ97:BC97"/>
    <mergeCell ref="BD97:BG97"/>
    <mergeCell ref="AV103:AY103"/>
    <mergeCell ref="AZ103:BC103"/>
    <mergeCell ref="BD103:BG103"/>
    <mergeCell ref="AV104:BG104"/>
    <mergeCell ref="BB105:BG105"/>
    <mergeCell ref="AV106:BA106"/>
    <mergeCell ref="BB106:BG106"/>
    <mergeCell ref="AV107:BA107"/>
    <mergeCell ref="BB107:BG107"/>
    <mergeCell ref="AV108:BA108"/>
    <mergeCell ref="BB108:BG108"/>
    <mergeCell ref="AV109:BA109"/>
    <mergeCell ref="BB109:BG109"/>
    <mergeCell ref="BC113:BD113"/>
    <mergeCell ref="BE113:BG113"/>
    <mergeCell ref="BE117:BG117"/>
    <mergeCell ref="BE118:BG118"/>
    <mergeCell ref="BD101:BG101"/>
    <mergeCell ref="BD102:BG102"/>
    <mergeCell ref="BC114:BD114"/>
    <mergeCell ref="BE114:BG114"/>
    <mergeCell ref="BC115:BD115"/>
    <mergeCell ref="BE115:BG115"/>
    <mergeCell ref="BE116:BG116"/>
    <mergeCell ref="C118:F118"/>
    <mergeCell ref="G118:I118"/>
    <mergeCell ref="C117:F117"/>
    <mergeCell ref="C119:F119"/>
    <mergeCell ref="C120:F120"/>
    <mergeCell ref="G119:I119"/>
    <mergeCell ref="J119:K119"/>
    <mergeCell ref="R118:U118"/>
    <mergeCell ref="R119:U119"/>
    <mergeCell ref="G120:I120"/>
    <mergeCell ref="J120:K120"/>
    <mergeCell ref="L120:N120"/>
    <mergeCell ref="R120:U120"/>
    <mergeCell ref="O96:O123"/>
    <mergeCell ref="Q96:Q123"/>
    <mergeCell ref="G117:I117"/>
    <mergeCell ref="J117:K117"/>
    <mergeCell ref="L117:N117"/>
    <mergeCell ref="R117:U117"/>
    <mergeCell ref="L119:N119"/>
    <mergeCell ref="AM94:AO95"/>
    <mergeCell ref="AP94:AR95"/>
    <mergeCell ref="AG95:AL95"/>
    <mergeCell ref="AV95:BA95"/>
    <mergeCell ref="C95:H95"/>
    <mergeCell ref="R95:W95"/>
    <mergeCell ref="V100:Y100"/>
    <mergeCell ref="Z100:AC100"/>
    <mergeCell ref="AG100:AJ100"/>
    <mergeCell ref="AK100:AN100"/>
    <mergeCell ref="AO100:AR100"/>
    <mergeCell ref="AV101:AY101"/>
    <mergeCell ref="AZ101:BC101"/>
    <mergeCell ref="R100:U100"/>
    <mergeCell ref="R101:U101"/>
    <mergeCell ref="V101:Y101"/>
    <mergeCell ref="Z101:AC101"/>
    <mergeCell ref="AG101:AJ101"/>
    <mergeCell ref="AK101:AN101"/>
    <mergeCell ref="AO101:AR101"/>
    <mergeCell ref="AG106:AL106"/>
    <mergeCell ref="AM106:AR106"/>
    <mergeCell ref="Y111:Z111"/>
    <mergeCell ref="AA111:AC111"/>
    <mergeCell ref="AG111:AJ111"/>
    <mergeCell ref="AK111:AM111"/>
    <mergeCell ref="AP111:AR111"/>
    <mergeCell ref="V120:X120"/>
    <mergeCell ref="Y120:Z120"/>
  </mergeCells>
  <conditionalFormatting sqref="A1:BI1 A2:A123 B4:BH4 BI2:BI123 AT5:AT43 AE5:AE43 P5:P43 B44:BH44 P45:P83 AE45:AE83 AT45:AT83 B84:BH84 AE85:AE123 P85:P123 AT85:AT123 A124:BI124">
    <cfRule type="containsBlanks" dxfId="1" priority="1">
      <formula>LEN(TRIM(A1))=0</formula>
    </cfRule>
  </conditionalFormatting>
  <dataValidations>
    <dataValidation type="list" allowBlank="1" showErrorMessage="1" sqref="C8 R8 AG8 AV8 C48 R48 AG48 AV48 C88 R88 AG88 AV88">
      <formula1>"Quarto Grau,Terceiro Grau,Segundo Grau,Primeiro Grau,Grau Especial"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7" width="3.25"/>
  </cols>
  <sheetData>
    <row r="1">
      <c r="A1" s="162"/>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62"/>
      <c r="AT1" s="162"/>
      <c r="AU1" s="162"/>
      <c r="AV1" s="162"/>
      <c r="AW1" s="162"/>
      <c r="AX1" s="162"/>
      <c r="AY1" s="162"/>
      <c r="AZ1" s="162"/>
      <c r="BA1" s="162"/>
      <c r="BB1" s="162"/>
      <c r="BC1" s="162"/>
      <c r="BD1" s="162"/>
      <c r="BE1" s="162"/>
    </row>
    <row r="2">
      <c r="A2" s="162"/>
      <c r="B2" s="163" t="s">
        <v>78</v>
      </c>
      <c r="BE2" s="162"/>
    </row>
    <row r="3">
      <c r="A3" s="162"/>
      <c r="BE3" s="162"/>
    </row>
    <row r="4">
      <c r="A4" s="162"/>
      <c r="B4" s="164"/>
      <c r="C4" s="165" t="s">
        <v>213</v>
      </c>
      <c r="D4" s="10"/>
      <c r="E4" s="10"/>
      <c r="F4" s="10"/>
      <c r="G4" s="10"/>
      <c r="H4" s="10"/>
      <c r="I4" s="10"/>
      <c r="J4" s="11"/>
      <c r="K4" s="166"/>
      <c r="L4" s="165" t="s">
        <v>214</v>
      </c>
      <c r="M4" s="10"/>
      <c r="N4" s="10"/>
      <c r="O4" s="10"/>
      <c r="P4" s="10"/>
      <c r="Q4" s="10"/>
      <c r="R4" s="10"/>
      <c r="S4" s="11"/>
      <c r="T4" s="166"/>
      <c r="U4" s="165" t="s">
        <v>215</v>
      </c>
      <c r="V4" s="10"/>
      <c r="W4" s="10"/>
      <c r="X4" s="10"/>
      <c r="Y4" s="10"/>
      <c r="Z4" s="10"/>
      <c r="AA4" s="10"/>
      <c r="AB4" s="11"/>
      <c r="AC4" s="166"/>
      <c r="AD4" s="165" t="s">
        <v>216</v>
      </c>
      <c r="AE4" s="10"/>
      <c r="AF4" s="10"/>
      <c r="AG4" s="10"/>
      <c r="AH4" s="10"/>
      <c r="AI4" s="10"/>
      <c r="AJ4" s="10"/>
      <c r="AK4" s="11"/>
      <c r="AL4" s="166"/>
      <c r="AM4" s="165" t="s">
        <v>217</v>
      </c>
      <c r="AN4" s="10"/>
      <c r="AO4" s="10"/>
      <c r="AP4" s="10"/>
      <c r="AQ4" s="10"/>
      <c r="AR4" s="10"/>
      <c r="AS4" s="10"/>
      <c r="AT4" s="11"/>
      <c r="AU4" s="166"/>
      <c r="AV4" s="165" t="s">
        <v>218</v>
      </c>
      <c r="AW4" s="10"/>
      <c r="AX4" s="10"/>
      <c r="AY4" s="10"/>
      <c r="AZ4" s="10"/>
      <c r="BA4" s="10"/>
      <c r="BB4" s="10"/>
      <c r="BC4" s="11"/>
      <c r="BD4" s="166"/>
      <c r="BE4" s="162"/>
    </row>
    <row r="5">
      <c r="A5" s="162"/>
      <c r="B5" s="116"/>
      <c r="C5" s="167" t="s">
        <v>219</v>
      </c>
      <c r="D5" s="10"/>
      <c r="E5" s="10"/>
      <c r="F5" s="10"/>
      <c r="G5" s="10"/>
      <c r="H5" s="11"/>
      <c r="I5" s="168" t="b">
        <v>0</v>
      </c>
      <c r="J5" s="11"/>
      <c r="K5" s="116"/>
      <c r="L5" s="167" t="s">
        <v>219</v>
      </c>
      <c r="M5" s="10"/>
      <c r="N5" s="10"/>
      <c r="O5" s="10"/>
      <c r="P5" s="10"/>
      <c r="Q5" s="11"/>
      <c r="R5" s="168" t="b">
        <v>0</v>
      </c>
      <c r="S5" s="11"/>
      <c r="T5" s="116"/>
      <c r="U5" s="167" t="s">
        <v>219</v>
      </c>
      <c r="V5" s="10"/>
      <c r="W5" s="10"/>
      <c r="X5" s="10"/>
      <c r="Y5" s="10"/>
      <c r="Z5" s="11"/>
      <c r="AA5" s="168" t="b">
        <v>0</v>
      </c>
      <c r="AB5" s="11"/>
      <c r="AC5" s="116"/>
      <c r="AD5" s="167" t="s">
        <v>219</v>
      </c>
      <c r="AE5" s="10"/>
      <c r="AF5" s="10"/>
      <c r="AG5" s="10"/>
      <c r="AH5" s="10"/>
      <c r="AI5" s="11"/>
      <c r="AJ5" s="168" t="b">
        <v>0</v>
      </c>
      <c r="AK5" s="11"/>
      <c r="AL5" s="116"/>
      <c r="AM5" s="167" t="s">
        <v>219</v>
      </c>
      <c r="AN5" s="10"/>
      <c r="AO5" s="10"/>
      <c r="AP5" s="10"/>
      <c r="AQ5" s="10"/>
      <c r="AR5" s="11"/>
      <c r="AS5" s="168" t="b">
        <v>0</v>
      </c>
      <c r="AT5" s="11"/>
      <c r="AU5" s="116"/>
      <c r="AV5" s="167" t="s">
        <v>219</v>
      </c>
      <c r="AW5" s="10"/>
      <c r="AX5" s="10"/>
      <c r="AY5" s="10"/>
      <c r="AZ5" s="10"/>
      <c r="BA5" s="11"/>
      <c r="BB5" s="168" t="b">
        <v>0</v>
      </c>
      <c r="BC5" s="11"/>
      <c r="BD5" s="116"/>
      <c r="BE5" s="162"/>
    </row>
    <row r="6">
      <c r="A6" s="162"/>
      <c r="B6" s="116"/>
      <c r="C6" s="167" t="s">
        <v>220</v>
      </c>
      <c r="D6" s="10"/>
      <c r="E6" s="10"/>
      <c r="F6" s="10"/>
      <c r="G6" s="10"/>
      <c r="H6" s="11"/>
      <c r="I6" s="168" t="b">
        <v>0</v>
      </c>
      <c r="J6" s="11"/>
      <c r="K6" s="116"/>
      <c r="L6" s="167" t="s">
        <v>220</v>
      </c>
      <c r="M6" s="10"/>
      <c r="N6" s="10"/>
      <c r="O6" s="10"/>
      <c r="P6" s="10"/>
      <c r="Q6" s="11"/>
      <c r="R6" s="168" t="b">
        <v>0</v>
      </c>
      <c r="S6" s="11"/>
      <c r="T6" s="116"/>
      <c r="U6" s="167" t="s">
        <v>220</v>
      </c>
      <c r="V6" s="10"/>
      <c r="W6" s="10"/>
      <c r="X6" s="10"/>
      <c r="Y6" s="10"/>
      <c r="Z6" s="11"/>
      <c r="AA6" s="168" t="b">
        <v>0</v>
      </c>
      <c r="AB6" s="11"/>
      <c r="AC6" s="116"/>
      <c r="AD6" s="167" t="s">
        <v>220</v>
      </c>
      <c r="AE6" s="10"/>
      <c r="AF6" s="10"/>
      <c r="AG6" s="10"/>
      <c r="AH6" s="10"/>
      <c r="AI6" s="11"/>
      <c r="AJ6" s="168" t="b">
        <v>0</v>
      </c>
      <c r="AK6" s="11"/>
      <c r="AL6" s="116"/>
      <c r="AM6" s="167" t="s">
        <v>220</v>
      </c>
      <c r="AN6" s="10"/>
      <c r="AO6" s="10"/>
      <c r="AP6" s="10"/>
      <c r="AQ6" s="10"/>
      <c r="AR6" s="11"/>
      <c r="AS6" s="168" t="b">
        <v>0</v>
      </c>
      <c r="AT6" s="11"/>
      <c r="AU6" s="116"/>
      <c r="AV6" s="167" t="s">
        <v>220</v>
      </c>
      <c r="AW6" s="10"/>
      <c r="AX6" s="10"/>
      <c r="AY6" s="10"/>
      <c r="AZ6" s="10"/>
      <c r="BA6" s="11"/>
      <c r="BB6" s="168" t="b">
        <v>0</v>
      </c>
      <c r="BC6" s="11"/>
      <c r="BD6" s="116"/>
      <c r="BE6" s="162"/>
    </row>
    <row r="7">
      <c r="A7" s="162"/>
      <c r="B7" s="116"/>
      <c r="C7" s="167" t="s">
        <v>221</v>
      </c>
      <c r="D7" s="10"/>
      <c r="E7" s="10"/>
      <c r="F7" s="10"/>
      <c r="G7" s="10"/>
      <c r="H7" s="11"/>
      <c r="I7" s="168" t="b">
        <v>0</v>
      </c>
      <c r="J7" s="11"/>
      <c r="K7" s="116"/>
      <c r="L7" s="167" t="s">
        <v>221</v>
      </c>
      <c r="M7" s="10"/>
      <c r="N7" s="10"/>
      <c r="O7" s="10"/>
      <c r="P7" s="10"/>
      <c r="Q7" s="11"/>
      <c r="R7" s="168" t="b">
        <v>0</v>
      </c>
      <c r="S7" s="11"/>
      <c r="T7" s="116"/>
      <c r="U7" s="167" t="s">
        <v>221</v>
      </c>
      <c r="V7" s="10"/>
      <c r="W7" s="10"/>
      <c r="X7" s="10"/>
      <c r="Y7" s="10"/>
      <c r="Z7" s="11"/>
      <c r="AA7" s="168" t="b">
        <v>0</v>
      </c>
      <c r="AB7" s="11"/>
      <c r="AC7" s="116"/>
      <c r="AD7" s="167" t="s">
        <v>221</v>
      </c>
      <c r="AE7" s="10"/>
      <c r="AF7" s="10"/>
      <c r="AG7" s="10"/>
      <c r="AH7" s="10"/>
      <c r="AI7" s="11"/>
      <c r="AJ7" s="168" t="b">
        <v>0</v>
      </c>
      <c r="AK7" s="11"/>
      <c r="AL7" s="116"/>
      <c r="AM7" s="167" t="s">
        <v>221</v>
      </c>
      <c r="AN7" s="10"/>
      <c r="AO7" s="10"/>
      <c r="AP7" s="10"/>
      <c r="AQ7" s="10"/>
      <c r="AR7" s="11"/>
      <c r="AS7" s="168" t="b">
        <v>0</v>
      </c>
      <c r="AT7" s="11"/>
      <c r="AU7" s="116"/>
      <c r="AV7" s="167" t="s">
        <v>221</v>
      </c>
      <c r="AW7" s="10"/>
      <c r="AX7" s="10"/>
      <c r="AY7" s="10"/>
      <c r="AZ7" s="10"/>
      <c r="BA7" s="11"/>
      <c r="BB7" s="168" t="b">
        <v>0</v>
      </c>
      <c r="BC7" s="11"/>
      <c r="BD7" s="116"/>
      <c r="BE7" s="162"/>
    </row>
    <row r="8">
      <c r="A8" s="162"/>
      <c r="B8" s="116"/>
      <c r="C8" s="167" t="s">
        <v>222</v>
      </c>
      <c r="D8" s="10"/>
      <c r="E8" s="10"/>
      <c r="F8" s="10"/>
      <c r="G8" s="10"/>
      <c r="H8" s="11"/>
      <c r="I8" s="168" t="b">
        <v>0</v>
      </c>
      <c r="J8" s="11"/>
      <c r="K8" s="116"/>
      <c r="L8" s="167" t="s">
        <v>222</v>
      </c>
      <c r="M8" s="10"/>
      <c r="N8" s="10"/>
      <c r="O8" s="10"/>
      <c r="P8" s="10"/>
      <c r="Q8" s="11"/>
      <c r="R8" s="168" t="b">
        <v>0</v>
      </c>
      <c r="S8" s="11"/>
      <c r="T8" s="116"/>
      <c r="U8" s="167" t="s">
        <v>222</v>
      </c>
      <c r="V8" s="10"/>
      <c r="W8" s="10"/>
      <c r="X8" s="10"/>
      <c r="Y8" s="10"/>
      <c r="Z8" s="11"/>
      <c r="AA8" s="168" t="b">
        <v>0</v>
      </c>
      <c r="AB8" s="11"/>
      <c r="AC8" s="116"/>
      <c r="AD8" s="167" t="s">
        <v>222</v>
      </c>
      <c r="AE8" s="10"/>
      <c r="AF8" s="10"/>
      <c r="AG8" s="10"/>
      <c r="AH8" s="10"/>
      <c r="AI8" s="11"/>
      <c r="AJ8" s="168" t="b">
        <v>0</v>
      </c>
      <c r="AK8" s="11"/>
      <c r="AL8" s="116"/>
      <c r="AM8" s="167" t="s">
        <v>222</v>
      </c>
      <c r="AN8" s="10"/>
      <c r="AO8" s="10"/>
      <c r="AP8" s="10"/>
      <c r="AQ8" s="10"/>
      <c r="AR8" s="11"/>
      <c r="AS8" s="168" t="b">
        <v>0</v>
      </c>
      <c r="AT8" s="11"/>
      <c r="AU8" s="116"/>
      <c r="AV8" s="167" t="s">
        <v>222</v>
      </c>
      <c r="AW8" s="10"/>
      <c r="AX8" s="10"/>
      <c r="AY8" s="10"/>
      <c r="AZ8" s="10"/>
      <c r="BA8" s="11"/>
      <c r="BB8" s="168" t="b">
        <v>0</v>
      </c>
      <c r="BC8" s="11"/>
      <c r="BD8" s="116"/>
      <c r="BE8" s="162"/>
    </row>
    <row r="9">
      <c r="A9" s="162"/>
      <c r="B9" s="116"/>
      <c r="C9" s="169" t="s">
        <v>223</v>
      </c>
      <c r="D9" s="10"/>
      <c r="E9" s="10"/>
      <c r="F9" s="10"/>
      <c r="G9" s="10"/>
      <c r="H9" s="10"/>
      <c r="I9" s="10"/>
      <c r="J9" s="11"/>
      <c r="K9" s="116"/>
      <c r="L9" s="169" t="s">
        <v>223</v>
      </c>
      <c r="M9" s="10"/>
      <c r="N9" s="10"/>
      <c r="O9" s="10"/>
      <c r="P9" s="10"/>
      <c r="Q9" s="10"/>
      <c r="R9" s="10"/>
      <c r="S9" s="11"/>
      <c r="T9" s="116"/>
      <c r="U9" s="169" t="s">
        <v>223</v>
      </c>
      <c r="V9" s="10"/>
      <c r="W9" s="10"/>
      <c r="X9" s="10"/>
      <c r="Y9" s="10"/>
      <c r="Z9" s="10"/>
      <c r="AA9" s="10"/>
      <c r="AB9" s="11"/>
      <c r="AC9" s="116"/>
      <c r="AD9" s="169" t="s">
        <v>223</v>
      </c>
      <c r="AE9" s="10"/>
      <c r="AF9" s="10"/>
      <c r="AG9" s="10"/>
      <c r="AH9" s="10"/>
      <c r="AI9" s="10"/>
      <c r="AJ9" s="10"/>
      <c r="AK9" s="11"/>
      <c r="AL9" s="116"/>
      <c r="AM9" s="169" t="s">
        <v>223</v>
      </c>
      <c r="AN9" s="10"/>
      <c r="AO9" s="10"/>
      <c r="AP9" s="10"/>
      <c r="AQ9" s="10"/>
      <c r="AR9" s="10"/>
      <c r="AS9" s="10"/>
      <c r="AT9" s="11"/>
      <c r="AU9" s="116"/>
      <c r="AV9" s="169" t="s">
        <v>223</v>
      </c>
      <c r="AW9" s="10"/>
      <c r="AX9" s="10"/>
      <c r="AY9" s="10"/>
      <c r="AZ9" s="10"/>
      <c r="BA9" s="10"/>
      <c r="BB9" s="10"/>
      <c r="BC9" s="11"/>
      <c r="BD9" s="116"/>
      <c r="BE9" s="162"/>
    </row>
    <row r="10">
      <c r="A10" s="162"/>
      <c r="B10" s="116"/>
      <c r="C10" s="170" t="s">
        <v>224</v>
      </c>
      <c r="D10" s="4"/>
      <c r="E10" s="4"/>
      <c r="F10" s="4"/>
      <c r="G10" s="4"/>
      <c r="H10" s="4"/>
      <c r="I10" s="4"/>
      <c r="J10" s="5"/>
      <c r="K10" s="116"/>
      <c r="L10" s="171" t="s">
        <v>225</v>
      </c>
      <c r="M10" s="4"/>
      <c r="N10" s="4"/>
      <c r="O10" s="4"/>
      <c r="P10" s="4"/>
      <c r="Q10" s="4"/>
      <c r="R10" s="4"/>
      <c r="S10" s="5"/>
      <c r="T10" s="116"/>
      <c r="U10" s="171" t="s">
        <v>226</v>
      </c>
      <c r="V10" s="4"/>
      <c r="W10" s="4"/>
      <c r="X10" s="4"/>
      <c r="Y10" s="4"/>
      <c r="Z10" s="4"/>
      <c r="AA10" s="4"/>
      <c r="AB10" s="5"/>
      <c r="AC10" s="116"/>
      <c r="AD10" s="171" t="s">
        <v>227</v>
      </c>
      <c r="AE10" s="4"/>
      <c r="AF10" s="4"/>
      <c r="AG10" s="4"/>
      <c r="AH10" s="4"/>
      <c r="AI10" s="4"/>
      <c r="AJ10" s="4"/>
      <c r="AK10" s="5"/>
      <c r="AL10" s="116"/>
      <c r="AM10" s="171" t="s">
        <v>228</v>
      </c>
      <c r="AN10" s="4"/>
      <c r="AO10" s="4"/>
      <c r="AP10" s="4"/>
      <c r="AQ10" s="4"/>
      <c r="AR10" s="4"/>
      <c r="AS10" s="4"/>
      <c r="AT10" s="5"/>
      <c r="AU10" s="116"/>
      <c r="AV10" s="171" t="s">
        <v>229</v>
      </c>
      <c r="AW10" s="4"/>
      <c r="AX10" s="4"/>
      <c r="AY10" s="4"/>
      <c r="AZ10" s="4"/>
      <c r="BA10" s="4"/>
      <c r="BB10" s="4"/>
      <c r="BC10" s="5"/>
      <c r="BD10" s="116"/>
      <c r="BE10" s="162"/>
    </row>
    <row r="11">
      <c r="A11" s="162"/>
      <c r="B11" s="116"/>
      <c r="C11" s="36"/>
      <c r="J11" s="37"/>
      <c r="K11" s="116"/>
      <c r="L11" s="36"/>
      <c r="S11" s="37"/>
      <c r="T11" s="116"/>
      <c r="U11" s="36"/>
      <c r="AB11" s="37"/>
      <c r="AC11" s="116"/>
      <c r="AD11" s="36"/>
      <c r="AK11" s="37"/>
      <c r="AL11" s="116"/>
      <c r="AM11" s="36"/>
      <c r="AT11" s="37"/>
      <c r="AU11" s="116"/>
      <c r="AV11" s="36"/>
      <c r="BC11" s="37"/>
      <c r="BD11" s="116"/>
      <c r="BE11" s="162"/>
    </row>
    <row r="12">
      <c r="A12" s="162"/>
      <c r="B12" s="116"/>
      <c r="C12" s="36"/>
      <c r="J12" s="37"/>
      <c r="K12" s="116"/>
      <c r="L12" s="36"/>
      <c r="S12" s="37"/>
      <c r="T12" s="116"/>
      <c r="U12" s="36"/>
      <c r="AB12" s="37"/>
      <c r="AC12" s="116"/>
      <c r="AD12" s="36"/>
      <c r="AK12" s="37"/>
      <c r="AL12" s="116"/>
      <c r="AM12" s="36"/>
      <c r="AT12" s="37"/>
      <c r="AU12" s="116"/>
      <c r="AV12" s="36"/>
      <c r="BC12" s="37"/>
      <c r="BD12" s="116"/>
      <c r="BE12" s="162"/>
    </row>
    <row r="13">
      <c r="A13" s="162"/>
      <c r="B13" s="116"/>
      <c r="C13" s="36"/>
      <c r="J13" s="37"/>
      <c r="K13" s="116"/>
      <c r="L13" s="36"/>
      <c r="S13" s="37"/>
      <c r="T13" s="116"/>
      <c r="U13" s="36"/>
      <c r="AB13" s="37"/>
      <c r="AC13" s="116"/>
      <c r="AD13" s="36"/>
      <c r="AK13" s="37"/>
      <c r="AL13" s="116"/>
      <c r="AM13" s="36"/>
      <c r="AT13" s="37"/>
      <c r="AU13" s="116"/>
      <c r="AV13" s="36"/>
      <c r="BC13" s="37"/>
      <c r="BD13" s="116"/>
      <c r="BE13" s="162"/>
    </row>
    <row r="14">
      <c r="A14" s="162"/>
      <c r="B14" s="116"/>
      <c r="C14" s="16"/>
      <c r="D14" s="17"/>
      <c r="E14" s="17"/>
      <c r="F14" s="17"/>
      <c r="G14" s="17"/>
      <c r="H14" s="17"/>
      <c r="I14" s="17"/>
      <c r="J14" s="18"/>
      <c r="K14" s="116"/>
      <c r="L14" s="16"/>
      <c r="M14" s="17"/>
      <c r="N14" s="17"/>
      <c r="O14" s="17"/>
      <c r="P14" s="17"/>
      <c r="Q14" s="17"/>
      <c r="R14" s="17"/>
      <c r="S14" s="18"/>
      <c r="T14" s="116"/>
      <c r="U14" s="16"/>
      <c r="V14" s="17"/>
      <c r="W14" s="17"/>
      <c r="X14" s="17"/>
      <c r="Y14" s="17"/>
      <c r="Z14" s="17"/>
      <c r="AA14" s="17"/>
      <c r="AB14" s="18"/>
      <c r="AC14" s="116"/>
      <c r="AD14" s="16"/>
      <c r="AE14" s="17"/>
      <c r="AF14" s="17"/>
      <c r="AG14" s="17"/>
      <c r="AH14" s="17"/>
      <c r="AI14" s="17"/>
      <c r="AJ14" s="17"/>
      <c r="AK14" s="18"/>
      <c r="AL14" s="116"/>
      <c r="AM14" s="16"/>
      <c r="AN14" s="17"/>
      <c r="AO14" s="17"/>
      <c r="AP14" s="17"/>
      <c r="AQ14" s="17"/>
      <c r="AR14" s="17"/>
      <c r="AS14" s="17"/>
      <c r="AT14" s="18"/>
      <c r="AU14" s="116"/>
      <c r="AV14" s="16"/>
      <c r="AW14" s="17"/>
      <c r="AX14" s="17"/>
      <c r="AY14" s="17"/>
      <c r="AZ14" s="17"/>
      <c r="BA14" s="17"/>
      <c r="BB14" s="17"/>
      <c r="BC14" s="18"/>
      <c r="BD14" s="116"/>
      <c r="BE14" s="162"/>
    </row>
    <row r="15">
      <c r="A15" s="162"/>
      <c r="B15" s="81"/>
      <c r="C15" s="172"/>
      <c r="D15" s="4"/>
      <c r="E15" s="4"/>
      <c r="F15" s="4"/>
      <c r="G15" s="4"/>
      <c r="H15" s="4"/>
      <c r="I15" s="4"/>
      <c r="J15" s="5"/>
      <c r="K15" s="81"/>
      <c r="L15" s="172"/>
      <c r="M15" s="4"/>
      <c r="N15" s="4"/>
      <c r="O15" s="4"/>
      <c r="P15" s="4"/>
      <c r="Q15" s="4"/>
      <c r="R15" s="4"/>
      <c r="S15" s="5"/>
      <c r="T15" s="116"/>
      <c r="U15" s="172"/>
      <c r="V15" s="4"/>
      <c r="W15" s="4"/>
      <c r="X15" s="4"/>
      <c r="Y15" s="4"/>
      <c r="Z15" s="4"/>
      <c r="AA15" s="4"/>
      <c r="AB15" s="5"/>
      <c r="AC15" s="116"/>
      <c r="AD15" s="172"/>
      <c r="AE15" s="4"/>
      <c r="AF15" s="4"/>
      <c r="AG15" s="4"/>
      <c r="AH15" s="4"/>
      <c r="AI15" s="4"/>
      <c r="AJ15" s="4"/>
      <c r="AK15" s="5"/>
      <c r="AL15" s="116"/>
      <c r="AM15" s="172"/>
      <c r="AN15" s="4"/>
      <c r="AO15" s="4"/>
      <c r="AP15" s="4"/>
      <c r="AQ15" s="4"/>
      <c r="AR15" s="4"/>
      <c r="AS15" s="4"/>
      <c r="AT15" s="5"/>
      <c r="AU15" s="116"/>
      <c r="AV15" s="172"/>
      <c r="AW15" s="4"/>
      <c r="AX15" s="4"/>
      <c r="AY15" s="4"/>
      <c r="AZ15" s="4"/>
      <c r="BA15" s="4"/>
      <c r="BB15" s="4"/>
      <c r="BC15" s="5"/>
      <c r="BD15" s="116"/>
      <c r="BE15" s="162"/>
    </row>
    <row r="16">
      <c r="A16" s="162"/>
      <c r="B16" s="166"/>
      <c r="C16" s="165" t="s">
        <v>230</v>
      </c>
      <c r="D16" s="10"/>
      <c r="E16" s="10"/>
      <c r="F16" s="10"/>
      <c r="G16" s="10"/>
      <c r="H16" s="10"/>
      <c r="I16" s="10"/>
      <c r="J16" s="11"/>
      <c r="K16" s="166"/>
      <c r="L16" s="165" t="s">
        <v>231</v>
      </c>
      <c r="M16" s="10"/>
      <c r="N16" s="10"/>
      <c r="O16" s="10"/>
      <c r="P16" s="10"/>
      <c r="Q16" s="10"/>
      <c r="R16" s="10"/>
      <c r="S16" s="11"/>
      <c r="T16" s="166"/>
      <c r="U16" s="165" t="s">
        <v>232</v>
      </c>
      <c r="V16" s="10"/>
      <c r="W16" s="10"/>
      <c r="X16" s="10"/>
      <c r="Y16" s="10"/>
      <c r="Z16" s="10"/>
      <c r="AA16" s="10"/>
      <c r="AB16" s="11"/>
      <c r="AC16" s="166"/>
      <c r="AD16" s="165" t="s">
        <v>233</v>
      </c>
      <c r="AE16" s="10"/>
      <c r="AF16" s="10"/>
      <c r="AG16" s="10"/>
      <c r="AH16" s="10"/>
      <c r="AI16" s="10"/>
      <c r="AJ16" s="10"/>
      <c r="AK16" s="11"/>
      <c r="AL16" s="166"/>
      <c r="AM16" s="165" t="s">
        <v>234</v>
      </c>
      <c r="AN16" s="10"/>
      <c r="AO16" s="10"/>
      <c r="AP16" s="10"/>
      <c r="AQ16" s="10"/>
      <c r="AR16" s="10"/>
      <c r="AS16" s="10"/>
      <c r="AT16" s="11"/>
      <c r="AU16" s="166"/>
      <c r="AV16" s="162"/>
      <c r="AW16" s="162"/>
      <c r="AX16" s="162"/>
      <c r="AY16" s="162"/>
      <c r="AZ16" s="162"/>
      <c r="BA16" s="162"/>
      <c r="BB16" s="162"/>
      <c r="BC16" s="162"/>
      <c r="BD16" s="162"/>
      <c r="BE16" s="162"/>
    </row>
    <row r="17">
      <c r="A17" s="162"/>
      <c r="B17" s="116"/>
      <c r="C17" s="167" t="s">
        <v>219</v>
      </c>
      <c r="D17" s="10"/>
      <c r="E17" s="10"/>
      <c r="F17" s="10"/>
      <c r="G17" s="10"/>
      <c r="H17" s="11"/>
      <c r="I17" s="168" t="b">
        <v>0</v>
      </c>
      <c r="J17" s="11"/>
      <c r="K17" s="116"/>
      <c r="L17" s="167" t="s">
        <v>219</v>
      </c>
      <c r="M17" s="10"/>
      <c r="N17" s="10"/>
      <c r="O17" s="10"/>
      <c r="P17" s="10"/>
      <c r="Q17" s="11"/>
      <c r="R17" s="168" t="b">
        <v>0</v>
      </c>
      <c r="S17" s="11"/>
      <c r="T17" s="116"/>
      <c r="U17" s="167" t="s">
        <v>219</v>
      </c>
      <c r="V17" s="10"/>
      <c r="W17" s="10"/>
      <c r="X17" s="10"/>
      <c r="Y17" s="10"/>
      <c r="Z17" s="11"/>
      <c r="AA17" s="168" t="b">
        <v>0</v>
      </c>
      <c r="AB17" s="11"/>
      <c r="AC17" s="116"/>
      <c r="AD17" s="167" t="s">
        <v>219</v>
      </c>
      <c r="AE17" s="10"/>
      <c r="AF17" s="10"/>
      <c r="AG17" s="10"/>
      <c r="AH17" s="10"/>
      <c r="AI17" s="11"/>
      <c r="AJ17" s="168" t="b">
        <v>0</v>
      </c>
      <c r="AK17" s="11"/>
      <c r="AL17" s="116"/>
      <c r="AM17" s="167" t="s">
        <v>219</v>
      </c>
      <c r="AN17" s="10"/>
      <c r="AO17" s="10"/>
      <c r="AP17" s="10"/>
      <c r="AQ17" s="10"/>
      <c r="AR17" s="11"/>
      <c r="AS17" s="168" t="b">
        <v>0</v>
      </c>
      <c r="AT17" s="11"/>
      <c r="AU17" s="116"/>
      <c r="AV17" s="162"/>
    </row>
    <row r="18">
      <c r="A18" s="162"/>
      <c r="B18" s="116"/>
      <c r="C18" s="167" t="s">
        <v>220</v>
      </c>
      <c r="D18" s="10"/>
      <c r="E18" s="10"/>
      <c r="F18" s="10"/>
      <c r="G18" s="10"/>
      <c r="H18" s="11"/>
      <c r="I18" s="168" t="b">
        <v>0</v>
      </c>
      <c r="J18" s="11"/>
      <c r="K18" s="116"/>
      <c r="L18" s="167" t="s">
        <v>220</v>
      </c>
      <c r="M18" s="10"/>
      <c r="N18" s="10"/>
      <c r="O18" s="10"/>
      <c r="P18" s="10"/>
      <c r="Q18" s="11"/>
      <c r="R18" s="168" t="b">
        <v>0</v>
      </c>
      <c r="S18" s="11"/>
      <c r="T18" s="116"/>
      <c r="U18" s="167" t="s">
        <v>220</v>
      </c>
      <c r="V18" s="10"/>
      <c r="W18" s="10"/>
      <c r="X18" s="10"/>
      <c r="Y18" s="10"/>
      <c r="Z18" s="11"/>
      <c r="AA18" s="168" t="b">
        <v>0</v>
      </c>
      <c r="AB18" s="11"/>
      <c r="AC18" s="116"/>
      <c r="AD18" s="167" t="s">
        <v>220</v>
      </c>
      <c r="AE18" s="10"/>
      <c r="AF18" s="10"/>
      <c r="AG18" s="10"/>
      <c r="AH18" s="10"/>
      <c r="AI18" s="11"/>
      <c r="AJ18" s="168" t="b">
        <v>0</v>
      </c>
      <c r="AK18" s="11"/>
      <c r="AL18" s="116"/>
      <c r="AM18" s="167" t="s">
        <v>220</v>
      </c>
      <c r="AN18" s="10"/>
      <c r="AO18" s="10"/>
      <c r="AP18" s="10"/>
      <c r="AQ18" s="10"/>
      <c r="AR18" s="11"/>
      <c r="AS18" s="168" t="b">
        <v>0</v>
      </c>
      <c r="AT18" s="11"/>
      <c r="AU18" s="116"/>
      <c r="AV18" s="162"/>
    </row>
    <row r="19">
      <c r="A19" s="162"/>
      <c r="B19" s="116"/>
      <c r="C19" s="167" t="s">
        <v>221</v>
      </c>
      <c r="D19" s="10"/>
      <c r="E19" s="10"/>
      <c r="F19" s="10"/>
      <c r="G19" s="10"/>
      <c r="H19" s="11"/>
      <c r="I19" s="168" t="b">
        <v>0</v>
      </c>
      <c r="J19" s="11"/>
      <c r="K19" s="116"/>
      <c r="L19" s="167" t="s">
        <v>221</v>
      </c>
      <c r="M19" s="10"/>
      <c r="N19" s="10"/>
      <c r="O19" s="10"/>
      <c r="P19" s="10"/>
      <c r="Q19" s="11"/>
      <c r="R19" s="168" t="b">
        <v>0</v>
      </c>
      <c r="S19" s="11"/>
      <c r="T19" s="116"/>
      <c r="U19" s="167" t="s">
        <v>221</v>
      </c>
      <c r="V19" s="10"/>
      <c r="W19" s="10"/>
      <c r="X19" s="10"/>
      <c r="Y19" s="10"/>
      <c r="Z19" s="11"/>
      <c r="AA19" s="168" t="b">
        <v>0</v>
      </c>
      <c r="AB19" s="11"/>
      <c r="AC19" s="116"/>
      <c r="AD19" s="167" t="s">
        <v>221</v>
      </c>
      <c r="AE19" s="10"/>
      <c r="AF19" s="10"/>
      <c r="AG19" s="10"/>
      <c r="AH19" s="10"/>
      <c r="AI19" s="11"/>
      <c r="AJ19" s="168" t="b">
        <v>0</v>
      </c>
      <c r="AK19" s="11"/>
      <c r="AL19" s="116"/>
      <c r="AM19" s="167" t="s">
        <v>221</v>
      </c>
      <c r="AN19" s="10"/>
      <c r="AO19" s="10"/>
      <c r="AP19" s="10"/>
      <c r="AQ19" s="10"/>
      <c r="AR19" s="11"/>
      <c r="AS19" s="168" t="b">
        <v>0</v>
      </c>
      <c r="AT19" s="11"/>
      <c r="AU19" s="116"/>
      <c r="AV19" s="162"/>
    </row>
    <row r="20">
      <c r="A20" s="162"/>
      <c r="B20" s="116"/>
      <c r="C20" s="167" t="s">
        <v>222</v>
      </c>
      <c r="D20" s="10"/>
      <c r="E20" s="10"/>
      <c r="F20" s="10"/>
      <c r="G20" s="10"/>
      <c r="H20" s="11"/>
      <c r="I20" s="168" t="b">
        <v>0</v>
      </c>
      <c r="J20" s="11"/>
      <c r="K20" s="116"/>
      <c r="L20" s="167" t="s">
        <v>222</v>
      </c>
      <c r="M20" s="10"/>
      <c r="N20" s="10"/>
      <c r="O20" s="10"/>
      <c r="P20" s="10"/>
      <c r="Q20" s="11"/>
      <c r="R20" s="168" t="b">
        <v>0</v>
      </c>
      <c r="S20" s="11"/>
      <c r="T20" s="116"/>
      <c r="U20" s="167" t="s">
        <v>222</v>
      </c>
      <c r="V20" s="10"/>
      <c r="W20" s="10"/>
      <c r="X20" s="10"/>
      <c r="Y20" s="10"/>
      <c r="Z20" s="11"/>
      <c r="AA20" s="168" t="b">
        <v>0</v>
      </c>
      <c r="AB20" s="11"/>
      <c r="AC20" s="116"/>
      <c r="AD20" s="167" t="s">
        <v>222</v>
      </c>
      <c r="AE20" s="10"/>
      <c r="AF20" s="10"/>
      <c r="AG20" s="10"/>
      <c r="AH20" s="10"/>
      <c r="AI20" s="11"/>
      <c r="AJ20" s="168" t="b">
        <v>0</v>
      </c>
      <c r="AK20" s="11"/>
      <c r="AL20" s="116"/>
      <c r="AM20" s="167" t="s">
        <v>222</v>
      </c>
      <c r="AN20" s="10"/>
      <c r="AO20" s="10"/>
      <c r="AP20" s="10"/>
      <c r="AQ20" s="10"/>
      <c r="AR20" s="11"/>
      <c r="AS20" s="168" t="b">
        <v>0</v>
      </c>
      <c r="AT20" s="11"/>
      <c r="AU20" s="116"/>
      <c r="AV20" s="162"/>
    </row>
    <row r="21">
      <c r="A21" s="162"/>
      <c r="B21" s="116"/>
      <c r="C21" s="169" t="s">
        <v>223</v>
      </c>
      <c r="D21" s="10"/>
      <c r="E21" s="10"/>
      <c r="F21" s="10"/>
      <c r="G21" s="10"/>
      <c r="H21" s="10"/>
      <c r="I21" s="10"/>
      <c r="J21" s="11"/>
      <c r="K21" s="116"/>
      <c r="L21" s="169" t="s">
        <v>223</v>
      </c>
      <c r="M21" s="10"/>
      <c r="N21" s="10"/>
      <c r="O21" s="10"/>
      <c r="P21" s="10"/>
      <c r="Q21" s="10"/>
      <c r="R21" s="10"/>
      <c r="S21" s="11"/>
      <c r="T21" s="116"/>
      <c r="U21" s="169" t="s">
        <v>223</v>
      </c>
      <c r="V21" s="10"/>
      <c r="W21" s="10"/>
      <c r="X21" s="10"/>
      <c r="Y21" s="10"/>
      <c r="Z21" s="10"/>
      <c r="AA21" s="10"/>
      <c r="AB21" s="11"/>
      <c r="AC21" s="116"/>
      <c r="AD21" s="169" t="s">
        <v>223</v>
      </c>
      <c r="AE21" s="10"/>
      <c r="AF21" s="10"/>
      <c r="AG21" s="10"/>
      <c r="AH21" s="10"/>
      <c r="AI21" s="10"/>
      <c r="AJ21" s="10"/>
      <c r="AK21" s="11"/>
      <c r="AL21" s="116"/>
      <c r="AM21" s="169" t="s">
        <v>223</v>
      </c>
      <c r="AN21" s="10"/>
      <c r="AO21" s="10"/>
      <c r="AP21" s="10"/>
      <c r="AQ21" s="10"/>
      <c r="AR21" s="10"/>
      <c r="AS21" s="10"/>
      <c r="AT21" s="11"/>
      <c r="AU21" s="116"/>
      <c r="AV21" s="162"/>
    </row>
    <row r="22">
      <c r="A22" s="162"/>
      <c r="B22" s="116"/>
      <c r="C22" s="171" t="s">
        <v>235</v>
      </c>
      <c r="D22" s="4"/>
      <c r="E22" s="4"/>
      <c r="F22" s="4"/>
      <c r="G22" s="4"/>
      <c r="H22" s="4"/>
      <c r="I22" s="4"/>
      <c r="J22" s="5"/>
      <c r="K22" s="116"/>
      <c r="L22" s="171" t="s">
        <v>236</v>
      </c>
      <c r="M22" s="4"/>
      <c r="N22" s="4"/>
      <c r="O22" s="4"/>
      <c r="P22" s="4"/>
      <c r="Q22" s="4"/>
      <c r="R22" s="4"/>
      <c r="S22" s="5"/>
      <c r="T22" s="116"/>
      <c r="U22" s="171" t="s">
        <v>237</v>
      </c>
      <c r="V22" s="4"/>
      <c r="W22" s="4"/>
      <c r="X22" s="4"/>
      <c r="Y22" s="4"/>
      <c r="Z22" s="4"/>
      <c r="AA22" s="4"/>
      <c r="AB22" s="5"/>
      <c r="AC22" s="116"/>
      <c r="AD22" s="171" t="s">
        <v>238</v>
      </c>
      <c r="AE22" s="4"/>
      <c r="AF22" s="4"/>
      <c r="AG22" s="4"/>
      <c r="AH22" s="4"/>
      <c r="AI22" s="4"/>
      <c r="AJ22" s="4"/>
      <c r="AK22" s="5"/>
      <c r="AL22" s="116"/>
      <c r="AM22" s="171" t="s">
        <v>239</v>
      </c>
      <c r="AN22" s="4"/>
      <c r="AO22" s="4"/>
      <c r="AP22" s="4"/>
      <c r="AQ22" s="4"/>
      <c r="AR22" s="4"/>
      <c r="AS22" s="4"/>
      <c r="AT22" s="5"/>
      <c r="AU22" s="116"/>
      <c r="AV22" s="162"/>
    </row>
    <row r="23">
      <c r="A23" s="162"/>
      <c r="B23" s="116"/>
      <c r="C23" s="36"/>
      <c r="J23" s="37"/>
      <c r="K23" s="116"/>
      <c r="L23" s="36"/>
      <c r="S23" s="37"/>
      <c r="T23" s="116"/>
      <c r="U23" s="36"/>
      <c r="AB23" s="37"/>
      <c r="AC23" s="116"/>
      <c r="AD23" s="36"/>
      <c r="AK23" s="37"/>
      <c r="AL23" s="116"/>
      <c r="AM23" s="36"/>
      <c r="AT23" s="37"/>
      <c r="AU23" s="116"/>
      <c r="AV23" s="162"/>
    </row>
    <row r="24">
      <c r="A24" s="162"/>
      <c r="B24" s="116"/>
      <c r="C24" s="36"/>
      <c r="J24" s="37"/>
      <c r="K24" s="116"/>
      <c r="L24" s="36"/>
      <c r="S24" s="37"/>
      <c r="T24" s="116"/>
      <c r="U24" s="36"/>
      <c r="AB24" s="37"/>
      <c r="AC24" s="116"/>
      <c r="AD24" s="36"/>
      <c r="AK24" s="37"/>
      <c r="AL24" s="116"/>
      <c r="AM24" s="36"/>
      <c r="AT24" s="37"/>
      <c r="AU24" s="116"/>
      <c r="AV24" s="162"/>
    </row>
    <row r="25">
      <c r="A25" s="162"/>
      <c r="B25" s="116"/>
      <c r="C25" s="36"/>
      <c r="J25" s="37"/>
      <c r="K25" s="116"/>
      <c r="L25" s="36"/>
      <c r="S25" s="37"/>
      <c r="T25" s="116"/>
      <c r="U25" s="36"/>
      <c r="AB25" s="37"/>
      <c r="AC25" s="116"/>
      <c r="AD25" s="36"/>
      <c r="AK25" s="37"/>
      <c r="AL25" s="116"/>
      <c r="AM25" s="36"/>
      <c r="AT25" s="37"/>
      <c r="AU25" s="116"/>
      <c r="AV25" s="162"/>
    </row>
    <row r="26">
      <c r="A26" s="162"/>
      <c r="B26" s="116"/>
      <c r="C26" s="16"/>
      <c r="D26" s="17"/>
      <c r="E26" s="17"/>
      <c r="F26" s="17"/>
      <c r="G26" s="17"/>
      <c r="H26" s="17"/>
      <c r="I26" s="17"/>
      <c r="J26" s="18"/>
      <c r="K26" s="116"/>
      <c r="L26" s="16"/>
      <c r="M26" s="17"/>
      <c r="N26" s="17"/>
      <c r="O26" s="17"/>
      <c r="P26" s="17"/>
      <c r="Q26" s="17"/>
      <c r="R26" s="17"/>
      <c r="S26" s="18"/>
      <c r="T26" s="116"/>
      <c r="U26" s="16"/>
      <c r="V26" s="17"/>
      <c r="W26" s="17"/>
      <c r="X26" s="17"/>
      <c r="Y26" s="17"/>
      <c r="Z26" s="17"/>
      <c r="AA26" s="17"/>
      <c r="AB26" s="18"/>
      <c r="AC26" s="116"/>
      <c r="AD26" s="16"/>
      <c r="AE26" s="17"/>
      <c r="AF26" s="17"/>
      <c r="AG26" s="17"/>
      <c r="AH26" s="17"/>
      <c r="AI26" s="17"/>
      <c r="AJ26" s="17"/>
      <c r="AK26" s="18"/>
      <c r="AL26" s="116"/>
      <c r="AM26" s="16"/>
      <c r="AN26" s="17"/>
      <c r="AO26" s="17"/>
      <c r="AP26" s="17"/>
      <c r="AQ26" s="17"/>
      <c r="AR26" s="17"/>
      <c r="AS26" s="17"/>
      <c r="AT26" s="18"/>
      <c r="AU26" s="116"/>
      <c r="AV26" s="162"/>
    </row>
    <row r="27">
      <c r="A27" s="162"/>
      <c r="B27" s="81"/>
      <c r="C27" s="173"/>
      <c r="D27" s="4"/>
      <c r="E27" s="4"/>
      <c r="F27" s="4"/>
      <c r="G27" s="4"/>
      <c r="H27" s="4"/>
      <c r="I27" s="4"/>
      <c r="J27" s="5"/>
      <c r="K27" s="174"/>
      <c r="L27" s="175"/>
      <c r="M27" s="10"/>
      <c r="N27" s="10"/>
      <c r="O27" s="10"/>
      <c r="P27" s="10"/>
      <c r="Q27" s="10"/>
      <c r="R27" s="10"/>
      <c r="S27" s="11"/>
      <c r="T27" s="174"/>
      <c r="U27" s="175"/>
      <c r="V27" s="10"/>
      <c r="W27" s="10"/>
      <c r="X27" s="10"/>
      <c r="Y27" s="10"/>
      <c r="Z27" s="10"/>
      <c r="AA27" s="10"/>
      <c r="AB27" s="11"/>
      <c r="AC27" s="174"/>
      <c r="AD27" s="175"/>
      <c r="AE27" s="10"/>
      <c r="AF27" s="10"/>
      <c r="AG27" s="10"/>
      <c r="AH27" s="10"/>
      <c r="AI27" s="10"/>
      <c r="AJ27" s="10"/>
      <c r="AK27" s="11"/>
      <c r="AL27" s="174"/>
      <c r="AM27" s="175"/>
      <c r="AN27" s="10"/>
      <c r="AO27" s="10"/>
      <c r="AP27" s="10"/>
      <c r="AQ27" s="10"/>
      <c r="AR27" s="10"/>
      <c r="AS27" s="10"/>
      <c r="AT27" s="11"/>
      <c r="AU27" s="174"/>
      <c r="AV27" s="162"/>
    </row>
    <row r="28">
      <c r="A28" s="162"/>
      <c r="B28" s="162"/>
      <c r="C28" s="162"/>
      <c r="D28" s="162"/>
      <c r="E28" s="162"/>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row>
    <row r="29">
      <c r="B29" s="176"/>
      <c r="C29" s="176"/>
      <c r="D29" s="176"/>
      <c r="E29" s="176"/>
      <c r="F29" s="176"/>
      <c r="G29" s="176"/>
      <c r="H29" s="176"/>
      <c r="I29" s="176"/>
      <c r="J29" s="176"/>
      <c r="K29" s="176"/>
    </row>
    <row r="30">
      <c r="B30" s="176"/>
      <c r="C30" s="176"/>
      <c r="D30" s="176"/>
      <c r="E30" s="176"/>
      <c r="F30" s="176"/>
      <c r="G30" s="176"/>
      <c r="H30" s="176"/>
      <c r="I30" s="176"/>
      <c r="J30" s="176"/>
      <c r="K30" s="176"/>
    </row>
    <row r="31">
      <c r="B31" s="176"/>
      <c r="C31" s="176"/>
      <c r="D31" s="176"/>
      <c r="E31" s="176"/>
      <c r="F31" s="176"/>
      <c r="G31" s="176"/>
      <c r="H31" s="176"/>
      <c r="I31" s="176"/>
      <c r="J31" s="176"/>
      <c r="K31" s="176"/>
    </row>
    <row r="32">
      <c r="B32" s="176"/>
      <c r="C32" s="176"/>
      <c r="D32" s="176"/>
      <c r="E32" s="176"/>
      <c r="F32" s="176"/>
      <c r="G32" s="176"/>
      <c r="H32" s="176"/>
      <c r="I32" s="176"/>
      <c r="J32" s="176"/>
      <c r="K32" s="176"/>
    </row>
    <row r="33">
      <c r="B33" s="176"/>
      <c r="C33" s="176"/>
      <c r="D33" s="176"/>
      <c r="E33" s="176"/>
      <c r="F33" s="176"/>
      <c r="G33" s="176"/>
      <c r="H33" s="176"/>
      <c r="I33" s="176"/>
      <c r="J33" s="176"/>
      <c r="K33" s="176"/>
    </row>
    <row r="34">
      <c r="B34" s="176"/>
      <c r="C34" s="176"/>
      <c r="D34" s="176"/>
      <c r="E34" s="176"/>
      <c r="F34" s="176"/>
      <c r="G34" s="176"/>
      <c r="H34" s="176"/>
      <c r="I34" s="176"/>
      <c r="J34" s="176"/>
      <c r="K34" s="176"/>
    </row>
    <row r="35">
      <c r="B35" s="176"/>
      <c r="C35" s="176"/>
      <c r="D35" s="176"/>
      <c r="E35" s="176"/>
      <c r="F35" s="176"/>
      <c r="G35" s="176"/>
      <c r="H35" s="176"/>
      <c r="I35" s="176"/>
      <c r="J35" s="176"/>
      <c r="K35" s="176"/>
    </row>
    <row r="36">
      <c r="B36" s="176"/>
      <c r="C36" s="176"/>
      <c r="D36" s="176"/>
      <c r="E36" s="176"/>
      <c r="F36" s="176"/>
      <c r="G36" s="176"/>
      <c r="H36" s="176"/>
      <c r="I36" s="176"/>
      <c r="J36" s="176"/>
      <c r="K36" s="176"/>
    </row>
    <row r="37">
      <c r="B37" s="176"/>
      <c r="C37" s="176"/>
      <c r="D37" s="176"/>
      <c r="E37" s="176"/>
      <c r="F37" s="176"/>
      <c r="G37" s="176"/>
      <c r="H37" s="176"/>
      <c r="I37" s="176"/>
      <c r="J37" s="176"/>
      <c r="K37" s="176"/>
    </row>
  </sheetData>
  <mergeCells count="146">
    <mergeCell ref="U4:AB4"/>
    <mergeCell ref="AD4:AK4"/>
    <mergeCell ref="L4:S4"/>
    <mergeCell ref="AM4:AT4"/>
    <mergeCell ref="C4:J4"/>
    <mergeCell ref="AV4:BC4"/>
    <mergeCell ref="I5:J5"/>
    <mergeCell ref="L5:Q5"/>
    <mergeCell ref="R5:S5"/>
    <mergeCell ref="U5:Z5"/>
    <mergeCell ref="AA5:AB5"/>
    <mergeCell ref="AD5:AI5"/>
    <mergeCell ref="AJ5:AK5"/>
    <mergeCell ref="AM5:AR5"/>
    <mergeCell ref="AS5:AT5"/>
    <mergeCell ref="AV5:BA5"/>
    <mergeCell ref="K4:K15"/>
    <mergeCell ref="I6:J6"/>
    <mergeCell ref="L6:Q6"/>
    <mergeCell ref="R6:S6"/>
    <mergeCell ref="L9:S9"/>
    <mergeCell ref="L10:S14"/>
    <mergeCell ref="L15:S15"/>
    <mergeCell ref="U6:Z6"/>
    <mergeCell ref="AA6:AB6"/>
    <mergeCell ref="U9:AB9"/>
    <mergeCell ref="U10:AB14"/>
    <mergeCell ref="U15:AB15"/>
    <mergeCell ref="AD6:AI6"/>
    <mergeCell ref="AJ6:AK6"/>
    <mergeCell ref="AD9:AK9"/>
    <mergeCell ref="AD10:AK14"/>
    <mergeCell ref="AD15:AK15"/>
    <mergeCell ref="AM6:AR6"/>
    <mergeCell ref="AS6:AT6"/>
    <mergeCell ref="AS8:AT8"/>
    <mergeCell ref="AM9:AT9"/>
    <mergeCell ref="AM10:AT14"/>
    <mergeCell ref="AM15:AT15"/>
    <mergeCell ref="AV6:BA6"/>
    <mergeCell ref="BB6:BC6"/>
    <mergeCell ref="AV8:BA8"/>
    <mergeCell ref="BB8:BC8"/>
    <mergeCell ref="AV9:BC9"/>
    <mergeCell ref="AV10:BC14"/>
    <mergeCell ref="AV15:BC15"/>
    <mergeCell ref="BB7:BC7"/>
    <mergeCell ref="I8:J8"/>
    <mergeCell ref="L8:Q8"/>
    <mergeCell ref="R8:S8"/>
    <mergeCell ref="U8:Z8"/>
    <mergeCell ref="AA8:AB8"/>
    <mergeCell ref="AD8:AI8"/>
    <mergeCell ref="C9:J9"/>
    <mergeCell ref="C10:J14"/>
    <mergeCell ref="B2:BD3"/>
    <mergeCell ref="T4:T15"/>
    <mergeCell ref="AC4:AC15"/>
    <mergeCell ref="AL4:AL15"/>
    <mergeCell ref="AU4:AU15"/>
    <mergeCell ref="BD4:BD15"/>
    <mergeCell ref="BB5:BC5"/>
    <mergeCell ref="C15:J15"/>
    <mergeCell ref="AM18:AR18"/>
    <mergeCell ref="AJ19:AK19"/>
    <mergeCell ref="AM19:AR19"/>
    <mergeCell ref="AD20:AI20"/>
    <mergeCell ref="AJ20:AK20"/>
    <mergeCell ref="AS19:AT19"/>
    <mergeCell ref="AM20:AR20"/>
    <mergeCell ref="AS20:AT20"/>
    <mergeCell ref="AD21:AK21"/>
    <mergeCell ref="AD22:AK26"/>
    <mergeCell ref="AD27:AK27"/>
    <mergeCell ref="AA7:AB7"/>
    <mergeCell ref="AD7:AI7"/>
    <mergeCell ref="AD16:AK16"/>
    <mergeCell ref="AL16:AL26"/>
    <mergeCell ref="AD17:AI17"/>
    <mergeCell ref="AJ17:AK17"/>
    <mergeCell ref="AJ18:AK18"/>
    <mergeCell ref="AM21:AT21"/>
    <mergeCell ref="AM22:AT26"/>
    <mergeCell ref="AM27:AT27"/>
    <mergeCell ref="AJ8:AK8"/>
    <mergeCell ref="AM8:AR8"/>
    <mergeCell ref="AM16:AT16"/>
    <mergeCell ref="AU16:AU26"/>
    <mergeCell ref="AM17:AR17"/>
    <mergeCell ref="AS17:AT17"/>
    <mergeCell ref="AS18:AT18"/>
    <mergeCell ref="R7:S7"/>
    <mergeCell ref="U7:Z7"/>
    <mergeCell ref="U16:AB16"/>
    <mergeCell ref="AC16:AC26"/>
    <mergeCell ref="U17:Z17"/>
    <mergeCell ref="AA17:AB17"/>
    <mergeCell ref="AA19:AB19"/>
    <mergeCell ref="U21:AB21"/>
    <mergeCell ref="I7:J7"/>
    <mergeCell ref="L7:Q7"/>
    <mergeCell ref="L16:S16"/>
    <mergeCell ref="T16:T26"/>
    <mergeCell ref="I17:J17"/>
    <mergeCell ref="R17:S17"/>
    <mergeCell ref="I18:J18"/>
    <mergeCell ref="U18:Z18"/>
    <mergeCell ref="AA18:AB18"/>
    <mergeCell ref="I19:J19"/>
    <mergeCell ref="L19:Q19"/>
    <mergeCell ref="R19:S19"/>
    <mergeCell ref="U19:Z19"/>
    <mergeCell ref="I20:J20"/>
    <mergeCell ref="L20:Q20"/>
    <mergeCell ref="R18:S18"/>
    <mergeCell ref="R20:S20"/>
    <mergeCell ref="U20:Z20"/>
    <mergeCell ref="AA20:AB20"/>
    <mergeCell ref="U27:AB27"/>
    <mergeCell ref="L21:S21"/>
    <mergeCell ref="L22:S26"/>
    <mergeCell ref="L27:S27"/>
    <mergeCell ref="C22:J26"/>
    <mergeCell ref="C27:J27"/>
    <mergeCell ref="B4:B15"/>
    <mergeCell ref="C5:H5"/>
    <mergeCell ref="C6:H6"/>
    <mergeCell ref="C7:H7"/>
    <mergeCell ref="C8:H8"/>
    <mergeCell ref="B16:B27"/>
    <mergeCell ref="K16:K26"/>
    <mergeCell ref="AJ7:AK7"/>
    <mergeCell ref="AM7:AR7"/>
    <mergeCell ref="AS7:AT7"/>
    <mergeCell ref="AV7:BA7"/>
    <mergeCell ref="C16:J16"/>
    <mergeCell ref="C17:H17"/>
    <mergeCell ref="L17:Q17"/>
    <mergeCell ref="L18:Q18"/>
    <mergeCell ref="C18:H18"/>
    <mergeCell ref="C19:H19"/>
    <mergeCell ref="AD18:AI18"/>
    <mergeCell ref="AD19:AI19"/>
    <mergeCell ref="U22:AB26"/>
    <mergeCell ref="C20:H20"/>
    <mergeCell ref="C21:J21"/>
  </mergeCells>
  <drawing r:id="rId2"/>
  <legacyDrawing r:id="rId3"/>
</worksheet>
</file>